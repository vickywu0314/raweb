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接口总览" sheetId="2" state="visible" r:id="rId2"/>
    <sheet xmlns:r="http://schemas.openxmlformats.org/officeDocument/2006/relationships" name="接口明细" sheetId="3" state="visible" r:id="rId3"/>
    <sheet xmlns:r="http://schemas.openxmlformats.org/officeDocument/2006/relationships" name="计算口径" sheetId="4" state="visible" r:id="rId4"/>
    <sheet xmlns:r="http://schemas.openxmlformats.org/officeDocument/2006/relationships" name="质控规则" sheetId="5" state="visible" r:id="rId5"/>
    <sheet xmlns:r="http://schemas.openxmlformats.org/officeDocument/2006/relationships" name="枚举字典" sheetId="6" state="visible" r:id="rId6"/>
    <sheet xmlns:r="http://schemas.openxmlformats.org/officeDocument/2006/relationships" name="待确认" sheetId="7" state="visible" r:id="rId7"/>
  </sheets>
  <definedNames>
    <definedName name="_xlnm._FilterDatabase" localSheetId="1" hidden="1">'接口总览'!$A$1:$I$28</definedName>
    <definedName name="_xlnm._FilterDatabase" localSheetId="2" hidden="1">'接口明细'!$A$1:$P$467</definedName>
    <definedName name="_xlnm._FilterDatabase" localSheetId="3" hidden="1">'计算口径'!$A$1:$I$71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A7641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EEF7EE"/>
      </patternFill>
    </fill>
    <fill>
      <patternFill patternType="solid">
        <fgColor rgb="00F7F9FC"/>
      </patternFill>
    </fill>
    <fill>
      <patternFill patternType="solid">
        <fgColor rgb="00FFF7E0"/>
      </patternFill>
    </fill>
    <fill>
      <patternFill patternType="solid">
        <fgColor rgb="00FFFBE6"/>
      </patternFill>
    </fill>
  </fills>
  <borders count="10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C9D3E0"/>
      </left>
      <right/>
      <top/>
      <bottom/>
      <diagonal/>
    </border>
    <border>
      <left style="thin">
        <color rgb="00C9D3E0"/>
      </left>
      <right style="thin">
        <color rgb="00C9D3E0"/>
      </right>
      <top/>
      <bottom/>
      <diagonal/>
    </border>
    <border>
      <left style="thin">
        <color rgb="00C9D3E0"/>
      </left>
      <right style="thin">
        <color rgb="00C9D3E0"/>
      </right>
      <top/>
      <bottom style="thin">
        <color rgb="00C9D3E0"/>
      </bottom>
      <diagonal/>
    </border>
    <border>
      <left style="thin">
        <color rgb="00C9D3E0"/>
      </left>
      <right style="thin">
        <color rgb="00C9D3E0"/>
      </right>
      <top style="medium">
        <color rgb="005B7DB1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5" borderId="5" applyAlignment="1" pivotButton="0" quotePrefix="0" xfId="0">
      <alignment vertical="top" wrapText="1"/>
    </xf>
    <xf numFmtId="0" fontId="7" fillId="5" borderId="5" applyAlignment="1" pivotButton="0" quotePrefix="0" xfId="0">
      <alignment horizontal="center" vertical="top" wrapText="1"/>
    </xf>
    <xf numFmtId="0" fontId="7" fillId="5" borderId="5" applyAlignment="1" pivotButton="0" quotePrefix="0" xfId="0">
      <alignment vertical="top" wrapText="1"/>
    </xf>
    <xf numFmtId="0" fontId="5" fillId="5" borderId="5" applyAlignment="1" pivotButton="0" quotePrefix="0" xfId="0">
      <alignment horizontal="center" vertical="top" wrapText="1"/>
    </xf>
    <xf numFmtId="0" fontId="8" fillId="5" borderId="5" applyAlignment="1" pivotButton="0" quotePrefix="0" xfId="0">
      <alignment vertical="top" wrapText="1"/>
    </xf>
    <xf numFmtId="0" fontId="5" fillId="3" borderId="5" applyAlignment="1" pivotButton="0" quotePrefix="0" xfId="0">
      <alignment horizontal="center" vertical="top" wrapText="1"/>
    </xf>
    <xf numFmtId="0" fontId="5" fillId="3" borderId="5" applyAlignment="1" pivotButton="0" quotePrefix="0" xfId="0">
      <alignment vertical="top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9" fillId="0" borderId="0" pivotButton="0" quotePrefix="0" xfId="0"/>
    <xf numFmtId="0" fontId="4" fillId="5" borderId="5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患者数据研究平台 · 一期后端接口说明（RA 研究库）</t>
        </is>
      </c>
    </row>
    <row r="2">
      <c r="A2" s="2" t="inlineStr">
        <is>
          <t>按页面组织：每个页面用到哪些接口、入参、出参、格式，以及页面上每个数字怎么算。</t>
        </is>
      </c>
    </row>
    <row r="4" ht="22" customHeight="1">
      <c r="A4" s="3" t="inlineStr">
        <is>
          <t>项目</t>
        </is>
      </c>
      <c r="B4" s="3" t="inlineStr">
        <is>
          <t>说明</t>
        </is>
      </c>
    </row>
    <row r="5" ht="17.5" customHeight="1">
      <c r="A5" s="4" t="inlineStr">
        <is>
          <t>文档目的</t>
        </is>
      </c>
      <c r="B5" s="5" t="inlineStr">
        <is>
          <t>给后端开发：按本表定义实现一期接口。每个接口写明请求地址、入参、出参、格式，以及页面上每个数字的计算口径。</t>
        </is>
      </c>
    </row>
    <row r="6" ht="17.5" customHeight="1">
      <c r="A6" s="4" t="inlineStr">
        <is>
          <t>版本</t>
        </is>
      </c>
      <c r="B6" s="5" t="inlineStr">
        <is>
          <t>v0.1 · 2026-09-30 · 草稿，待评审</t>
        </is>
      </c>
    </row>
    <row r="7" ht="31" customHeight="1">
      <c r="A7" s="4" t="inlineStr">
        <is>
          <t>本期范围</t>
        </is>
      </c>
      <c r="B7" s="5" t="inlineStr">
        <is>
          <t>左侧菜单 5 项：项目总览、数据看板、患者管理（含新建患者、患者详情、编辑档案、新增/编辑随访、访视详情）、随访管理、数据质控；以及每页都要用的登录、当前用户、研究库列表。</t>
        </is>
      </c>
    </row>
    <row r="8" ht="31" customHeight="1">
      <c r="A8" s="4" t="inlineStr">
        <is>
          <t>不含</t>
        </is>
      </c>
      <c r="B8" s="5" t="inlineStr">
        <is>
          <t>① 使用指南、学习中心、指南速查、更新亮点：全部静态内容，前端维护，不需要接口。
② AI 相关一切接口（看板智能队列、AI 智能分析、问问AI、病程分析、纸质病历拍照整页识别）：单独讨论，模型用 DeepSeek。</t>
        </is>
      </c>
    </row>
    <row r="9" ht="31" customHeight="1">
      <c r="A9" s="4" t="inlineStr">
        <is>
          <t>第三方</t>
        </is>
      </c>
      <c r="B9" s="5" t="inlineStr">
        <is>
          <t>化验单拍照识别：百度智能云医疗 OCR（检验报告单识别），由后端调用，密钥不下发前端。
AI：DeepSeek（另行出方案）。</t>
        </is>
      </c>
    </row>
    <row r="10" ht="17.5" customHeight="1">
      <c r="A10" s="4" t="inlineStr">
        <is>
          <t>接口地址</t>
        </is>
      </c>
      <c r="B10" s="5" t="inlineStr">
        <is>
          <t>统一前缀 /api/v1；与前端同域部署（Nginx 反向代理），无跨域。</t>
        </is>
      </c>
    </row>
    <row r="11" ht="17.5" customHeight="1">
      <c r="A11" s="4" t="inlineStr">
        <is>
          <t>登录态</t>
        </is>
      </c>
      <c r="B11" s="5" t="inlineStr">
        <is>
          <t>服务端会话，HttpOnly Cookie `ra_session`；前端不存 token。未登录返回 code=40101，前端跳登录页。</t>
        </is>
      </c>
    </row>
    <row r="12" ht="31" customHeight="1">
      <c r="A12" s="4" t="inlineStr">
        <is>
          <t>返回格式</t>
        </is>
      </c>
      <c r="B12" s="5" t="inlineStr">
        <is>
          <t>统一 JSON：{ "code": 0, "message": "ok", "data": {…}, "traceId": "…" }。code=0 成功；错误码见「枚举字典」下方。本表出参字段路径均相对于 data。文件下载接口直接返回文件流。</t>
        </is>
      </c>
    </row>
    <row r="13" ht="17.5" customHeight="1">
      <c r="A13" s="4" t="inlineStr">
        <is>
          <t>研究库</t>
        </is>
      </c>
      <c r="B13" s="5" t="inlineStr">
        <is>
          <t>业务接口都带 studyId（一期固定 RA），为以后 FM、AS 等病种库复用同一套接口。</t>
        </is>
      </c>
    </row>
    <row r="14" ht="17.5" customHeight="1">
      <c r="A14" s="4" t="inlineStr">
        <is>
          <t>分页</t>
        </is>
      </c>
      <c r="B14" s="5" t="inlineStr">
        <is>
          <t>入参 page（从 1 开始）、size（默认 20，最大 200）；出参 items[]、total、page、size。</t>
        </is>
      </c>
    </row>
    <row r="15" ht="17.5" customHeight="1">
      <c r="A15" s="4" t="inlineStr">
        <is>
          <t>日期时间</t>
        </is>
      </c>
      <c r="B15" s="5" t="inlineStr">
        <is>
          <t>日期 YYYY-MM-DD；时间 ISO 8601 带时区，如 2026-09-30T10:00:00+08:00；「今天」按 Asia/Shanghai。</t>
        </is>
      </c>
    </row>
    <row r="16" ht="17.5" customHeight="1">
      <c r="A16" s="4" t="inlineStr">
        <is>
          <t>比例</t>
        </is>
      </c>
      <c r="B16" s="5" t="inlineStr">
        <is>
          <t>所有比例返回 0–1 小数（保留 4 位），前端格式化为百分比。</t>
        </is>
      </c>
    </row>
    <row r="17" ht="17.5" customHeight="1">
      <c r="A17" s="4" t="inlineStr">
        <is>
          <t>枚举</t>
        </is>
      </c>
      <c r="B17" s="5" t="inlineStr">
        <is>
          <t>接口传英文编码，同时返回 xxxLabel 中文，前端直接显示；编码见「枚举字典」。</t>
        </is>
      </c>
    </row>
    <row r="18" ht="17.5" customHeight="1">
      <c r="A18" s="4" t="inlineStr">
        <is>
          <t>敏感信息</t>
        </is>
      </c>
      <c r="B18" s="5" t="inlineStr">
        <is>
          <t>身份证号、手机号加密存储；列表和详情只返回脱敏值；明文走 PT07 并记审计。</t>
        </is>
      </c>
    </row>
    <row r="19" ht="17.5" customHeight="1">
      <c r="A19" s="4" t="inlineStr">
        <is>
          <t>并发修改</t>
        </is>
      </c>
      <c r="B19" s="5" t="inlineStr">
        <is>
          <t>修改类接口带 rowVersion，不一致返回 40901，前端提示刷新。</t>
        </is>
      </c>
    </row>
    <row r="20" ht="17.5" customHeight="1">
      <c r="A20" s="4" t="inlineStr">
        <is>
          <t>审计</t>
        </is>
      </c>
      <c r="B20" s="5" t="inlineStr">
        <is>
          <t>所有写操作由服务端自动记录字段级「旧值 → 新值」，供患者详情「修改记录」显示；业务代码无需手写。</t>
        </is>
      </c>
    </row>
    <row r="21" ht="17.5" customHeight="1">
      <c r="A21" s="4" t="inlineStr">
        <is>
          <t>CRF 字段</t>
        </is>
      </c>
      <c r="B21" s="5" t="inlineStr">
        <is>
          <t>病例数据按字段编码存取（如 LAB.crp），字段定义见 ra/docs/crf-dictionary-draft.csv，待医学负责人定稿。</t>
        </is>
      </c>
    </row>
    <row r="22" ht="71.5" customHeight="1">
      <c r="A22" s="4" t="inlineStr">
        <is>
          <t>怎么看这份表</t>
        </is>
      </c>
      <c r="B22" s="5" t="inlineStr">
        <is>
          <t>「接口清单」：一行一个接口，按菜单和页面排列（按你要的列）。
「参数明细」：每个接口的入参、出参逐字段说明和示例。
「计算口径」：页面上每个数字的定义和算法，编号在接口清单里引用。
「质控规则」「枚举字典」：规则与编码。
「待确认」：需要产品 / 医学 / 客户拍板的事项，开发前要定。</t>
        </is>
      </c>
    </row>
    <row r="24">
      <c r="A24" s="6" t="inlineStr">
        <is>
          <t>各表说明</t>
        </is>
      </c>
    </row>
    <row r="25">
      <c r="A25" s="4" t="inlineStr">
        <is>
          <t>接口总览</t>
        </is>
      </c>
      <c r="B25" s="5" t="inlineStr">
        <is>
          <t>一行一个接口，快速查看全部接口和对应页面。</t>
        </is>
      </c>
    </row>
    <row r="26">
      <c r="A26" s="4" t="inlineStr">
        <is>
          <t>接口明细</t>
        </is>
      </c>
      <c r="B26" s="5" t="inlineStr">
        <is>
          <t>按菜单 → 页面 → 接口排列；每个接口下依次列出入参（蓝）、出参（绿）、页面口径（黄）。</t>
        </is>
      </c>
    </row>
    <row r="27">
      <c r="A27" s="4" t="inlineStr">
        <is>
          <t>计算口径</t>
        </is>
      </c>
      <c r="B27" s="5" t="inlineStr">
        <is>
          <t>页面上所有数字的定义与算法，包括通用定义 B-01 ~ B-08。</t>
        </is>
      </c>
    </row>
    <row r="28">
      <c r="A28" s="4" t="inlineStr">
        <is>
          <t>质控规则</t>
        </is>
      </c>
      <c r="B28" s="5" t="inlineStr">
        <is>
          <t>数据质控页问题的来源规则。</t>
        </is>
      </c>
    </row>
    <row r="29">
      <c r="A29" s="4" t="inlineStr">
        <is>
          <t>枚举字典</t>
        </is>
      </c>
      <c r="B29" s="5" t="inlineStr">
        <is>
          <t>接口中英文编码对照 + 错误码。</t>
        </is>
      </c>
    </row>
    <row r="30">
      <c r="A30" s="4" t="inlineStr">
        <is>
          <t>待确认</t>
        </is>
      </c>
      <c r="B30" s="5" t="inlineStr">
        <is>
          <t>开发前需要产品 / 医学 / 客户拍板的事项。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2" customWidth="1" min="4" max="4"/>
    <col width="9" customWidth="1" min="5" max="5"/>
    <col width="26" customWidth="1" min="6" max="6"/>
    <col width="9" customWidth="1" min="7" max="7"/>
    <col width="36" customWidth="1" min="8" max="8"/>
    <col width="20" customWidth="1" min="9" max="9"/>
  </cols>
  <sheetData>
    <row r="1" ht="22" customHeight="1">
      <c r="A1" s="3" t="inlineStr">
        <is>
          <t>序号</t>
        </is>
      </c>
      <c r="B1" s="3" t="inlineStr">
        <is>
          <t>菜单</t>
        </is>
      </c>
      <c r="C1" s="3" t="inlineStr">
        <is>
          <t>页面</t>
        </is>
      </c>
      <c r="D1" s="3" t="inlineStr">
        <is>
          <t>页面区块 / 功能</t>
        </is>
      </c>
      <c r="E1" s="3" t="inlineStr">
        <is>
          <t>接口编号</t>
        </is>
      </c>
      <c r="F1" s="3" t="inlineStr">
        <is>
          <t>接口中文说明</t>
        </is>
      </c>
      <c r="G1" s="3" t="inlineStr">
        <is>
          <t>请求方式</t>
        </is>
      </c>
      <c r="H1" s="3" t="inlineStr">
        <is>
          <t>请求地址</t>
        </is>
      </c>
      <c r="I1" s="3" t="inlineStr">
        <is>
          <t>权限</t>
        </is>
      </c>
    </row>
    <row r="2" ht="17.5" customHeight="1">
      <c r="A2" s="7" t="n">
        <v>1</v>
      </c>
      <c r="B2" s="5" t="inlineStr">
        <is>
          <t>全局</t>
        </is>
      </c>
      <c r="C2" s="5" t="inlineStr">
        <is>
          <t>login.html</t>
        </is>
      </c>
      <c r="D2" s="5" t="inlineStr">
        <is>
          <t>登录</t>
        </is>
      </c>
      <c r="E2" s="5" t="inlineStr">
        <is>
          <t>G01</t>
        </is>
      </c>
      <c r="F2" s="5" t="inlineStr">
        <is>
          <t>登录</t>
        </is>
      </c>
      <c r="G2" s="5" t="inlineStr">
        <is>
          <t>POST</t>
        </is>
      </c>
      <c r="H2" s="5" t="inlineStr">
        <is>
          <t>/api/v1/auth/login</t>
        </is>
      </c>
      <c r="I2" s="5" t="inlineStr">
        <is>
          <t>无需登录</t>
        </is>
      </c>
    </row>
    <row r="3" ht="17.5" customHeight="1">
      <c r="A3" s="7" t="n">
        <v>2</v>
      </c>
      <c r="B3" s="5" t="inlineStr">
        <is>
          <t>全局</t>
        </is>
      </c>
      <c r="C3" s="5" t="inlineStr">
        <is>
          <t>所有页面（顶栏退出按钮）</t>
        </is>
      </c>
      <c r="D3" s="5" t="inlineStr">
        <is>
          <t>退出登录</t>
        </is>
      </c>
      <c r="E3" s="5" t="inlineStr">
        <is>
          <t>G02</t>
        </is>
      </c>
      <c r="F3" s="5" t="inlineStr">
        <is>
          <t>退出登录</t>
        </is>
      </c>
      <c r="G3" s="5" t="inlineStr">
        <is>
          <t>POST</t>
        </is>
      </c>
      <c r="H3" s="5" t="inlineStr">
        <is>
          <t>/api/v1/auth/logout</t>
        </is>
      </c>
      <c r="I3" s="5" t="inlineStr">
        <is>
          <t>已登录</t>
        </is>
      </c>
    </row>
    <row r="4" ht="17.5" customHeight="1">
      <c r="A4" s="7" t="n">
        <v>3</v>
      </c>
      <c r="B4" s="5" t="inlineStr">
        <is>
          <t>全局</t>
        </is>
      </c>
      <c r="C4" s="5" t="inlineStr">
        <is>
          <t>所有页面（加载时）</t>
        </is>
      </c>
      <c r="D4" s="5" t="inlineStr">
        <is>
          <t>顶栏账号 / 登录校验</t>
        </is>
      </c>
      <c r="E4" s="5" t="inlineStr">
        <is>
          <t>G03</t>
        </is>
      </c>
      <c r="F4" s="5" t="inlineStr">
        <is>
          <t>获取当前用户</t>
        </is>
      </c>
      <c r="G4" s="5" t="inlineStr">
        <is>
          <t>GET</t>
        </is>
      </c>
      <c r="H4" s="5" t="inlineStr">
        <is>
          <t>/api/v1/auth/me</t>
        </is>
      </c>
      <c r="I4" s="5" t="inlineStr">
        <is>
          <t>已登录</t>
        </is>
      </c>
    </row>
    <row r="5" ht="17.5" customHeight="1">
      <c r="A5" s="7" t="n">
        <v>4</v>
      </c>
      <c r="B5" s="5" t="inlineStr">
        <is>
          <t>全局</t>
        </is>
      </c>
      <c r="C5" s="5" t="inlineStr">
        <is>
          <t>所有页面（侧栏）</t>
        </is>
      </c>
      <c r="D5" s="5" t="inlineStr">
        <is>
          <t>研究库切换菜单</t>
        </is>
      </c>
      <c r="E5" s="5" t="inlineStr">
        <is>
          <t>G04</t>
        </is>
      </c>
      <c r="F5" s="5" t="inlineStr">
        <is>
          <t>研究库列表</t>
        </is>
      </c>
      <c r="G5" s="5" t="inlineStr">
        <is>
          <t>GET</t>
        </is>
      </c>
      <c r="H5" s="5" t="inlineStr">
        <is>
          <t>/api/v1/studies</t>
        </is>
      </c>
      <c r="I5" s="5" t="inlineStr">
        <is>
          <t>已登录</t>
        </is>
      </c>
    </row>
    <row r="6" ht="31" customHeight="1">
      <c r="A6" s="7" t="n">
        <v>5</v>
      </c>
      <c r="B6" s="5" t="inlineStr">
        <is>
          <t>项目总览</t>
        </is>
      </c>
      <c r="C6" s="5" t="inlineStr">
        <is>
          <t>projects.html</t>
        </is>
      </c>
      <c r="D6" s="5" t="inlineStr">
        <is>
          <t>顶部 4 张卡片 + 研究执行概览 4 项 + 项目基本信息</t>
        </is>
      </c>
      <c r="E6" s="5" t="inlineStr">
        <is>
          <t>P01</t>
        </is>
      </c>
      <c r="F6" s="5" t="inlineStr">
        <is>
          <t>项目总览（一个接口返回页面全部数据）</t>
        </is>
      </c>
      <c r="G6" s="5" t="inlineStr">
        <is>
          <t>GET</t>
        </is>
      </c>
      <c r="H6" s="5" t="inlineStr">
        <is>
          <t>/api/v1/studies/{studyId}/overview</t>
        </is>
      </c>
      <c r="I6" s="5" t="inlineStr">
        <is>
          <t>patient:view</t>
        </is>
      </c>
    </row>
    <row r="7" ht="44.5" customHeight="1">
      <c r="A7" s="7" t="n">
        <v>6</v>
      </c>
      <c r="B7" s="5" t="inlineStr">
        <is>
          <t>数据看板</t>
        </is>
      </c>
      <c r="C7" s="5" t="inlineStr">
        <is>
          <t>dashboard.html</t>
        </is>
      </c>
      <c r="D7" s="5" t="inlineStr">
        <is>
          <t>患者规模 / 随访管理 / 需关注患者 / DAS28 / 数据质量 / 研究数据 / 风险提醒 / 近期动态</t>
        </is>
      </c>
      <c r="E7" s="5" t="inlineStr">
        <is>
          <t>D01</t>
        </is>
      </c>
      <c r="F7" s="5" t="inlineStr">
        <is>
          <t>数据看板（一个接口返回页面全部统计）</t>
        </is>
      </c>
      <c r="G7" s="5" t="inlineStr">
        <is>
          <t>GET</t>
        </is>
      </c>
      <c r="H7" s="5" t="inlineStr">
        <is>
          <t>/api/v1/stats/dashboard</t>
        </is>
      </c>
      <c r="I7" s="5" t="inlineStr">
        <is>
          <t>patient:view</t>
        </is>
      </c>
    </row>
    <row r="8" ht="17.5" customHeight="1">
      <c r="A8" s="7" t="n">
        <v>7</v>
      </c>
      <c r="B8" s="5" t="inlineStr">
        <is>
          <t>数据看板</t>
        </is>
      </c>
      <c r="C8" s="5" t="inlineStr">
        <is>
          <t>dashboard.html</t>
        </is>
      </c>
      <c r="D8" s="5" t="inlineStr">
        <is>
          <t>风险提醒 · 点击卡片弹出名单</t>
        </is>
      </c>
      <c r="E8" s="5" t="inlineStr">
        <is>
          <t>D02</t>
        </is>
      </c>
      <c r="F8" s="5" t="inlineStr">
        <is>
          <t>风险患者名单</t>
        </is>
      </c>
      <c r="G8" s="5" t="inlineStr">
        <is>
          <t>GET</t>
        </is>
      </c>
      <c r="H8" s="5" t="inlineStr">
        <is>
          <t>/api/v1/stats/risk-lists/{type}</t>
        </is>
      </c>
      <c r="I8" s="5" t="inlineStr">
        <is>
          <t>patient:view</t>
        </is>
      </c>
    </row>
    <row r="9" ht="31" customHeight="1">
      <c r="A9" s="7" t="n">
        <v>8</v>
      </c>
      <c r="B9" s="5" t="inlineStr">
        <is>
          <t>患者管理</t>
        </is>
      </c>
      <c r="C9" s="5" t="inlineStr">
        <is>
          <t>patients.html</t>
        </is>
      </c>
      <c r="D9" s="5" t="inlineStr">
        <is>
          <t>患者列表 + 检索 + 筛选 + 分页 + 顶部汇总</t>
        </is>
      </c>
      <c r="E9" s="5" t="inlineStr">
        <is>
          <t>PT01</t>
        </is>
      </c>
      <c r="F9" s="5" t="inlineStr">
        <is>
          <t>患者列表（列表、模糊查询、筛选同一个接口）</t>
        </is>
      </c>
      <c r="G9" s="5" t="inlineStr">
        <is>
          <t>GET</t>
        </is>
      </c>
      <c r="H9" s="5" t="inlineStr">
        <is>
          <t>/api/v1/patients</t>
        </is>
      </c>
      <c r="I9" s="5" t="inlineStr">
        <is>
          <t>patient:view</t>
        </is>
      </c>
    </row>
    <row r="10" ht="31" customHeight="1">
      <c r="A10" s="7" t="n">
        <v>9</v>
      </c>
      <c r="B10" s="5" t="inlineStr">
        <is>
          <t>患者管理</t>
        </is>
      </c>
      <c r="C10" s="5" t="inlineStr">
        <is>
          <t>patient-create.html</t>
        </is>
      </c>
      <c r="D10" s="5" t="inlineStr">
        <is>
          <t>新增患者 · 保存并完成建档</t>
        </is>
      </c>
      <c r="E10" s="5" t="inlineStr">
        <is>
          <t>PT02</t>
        </is>
      </c>
      <c r="F10" s="5" t="inlineStr">
        <is>
          <t>新建患者（可同时录入基线访视）</t>
        </is>
      </c>
      <c r="G10" s="5" t="inlineStr">
        <is>
          <t>POST</t>
        </is>
      </c>
      <c r="H10" s="5" t="inlineStr">
        <is>
          <t>/api/v1/patients</t>
        </is>
      </c>
      <c r="I10" s="5" t="inlineStr">
        <is>
          <t>patient:edit</t>
        </is>
      </c>
    </row>
    <row r="11" ht="31" customHeight="1">
      <c r="A11" s="7" t="n">
        <v>10</v>
      </c>
      <c r="B11" s="5" t="inlineStr">
        <is>
          <t>患者管理</t>
        </is>
      </c>
      <c r="C11" s="5" t="inlineStr">
        <is>
          <t>patients.html</t>
        </is>
      </c>
      <c r="D11" s="5" t="inlineStr">
        <is>
          <t>数据导出按钮</t>
        </is>
      </c>
      <c r="E11" s="5" t="inlineStr">
        <is>
          <t>PT03</t>
        </is>
      </c>
      <c r="F11" s="5" t="inlineStr">
        <is>
          <t>数据导出</t>
        </is>
      </c>
      <c r="G11" s="5" t="inlineStr">
        <is>
          <t>GET</t>
        </is>
      </c>
      <c r="H11" s="5" t="inlineStr">
        <is>
          <t>/api/v1/patients/export</t>
        </is>
      </c>
      <c r="I11" s="5" t="inlineStr">
        <is>
          <t>export:deid（脱敏）/ export:full（明文）</t>
        </is>
      </c>
    </row>
    <row r="12" ht="31" customHeight="1">
      <c r="A12" s="7" t="n">
        <v>11</v>
      </c>
      <c r="B12" s="5" t="inlineStr">
        <is>
          <t>患者管理</t>
        </is>
      </c>
      <c r="C12" s="5" t="inlineStr">
        <is>
          <t>patient-create.html / visit-create.html</t>
        </is>
      </c>
      <c r="D12" s="5" t="inlineStr">
        <is>
          <t>拍照上传（化验单 / 病历照片）</t>
        </is>
      </c>
      <c r="E12" s="5" t="inlineStr">
        <is>
          <t>PT04</t>
        </is>
      </c>
      <c r="F12" s="5" t="inlineStr">
        <is>
          <t>上传附件</t>
        </is>
      </c>
      <c r="G12" s="5" t="inlineStr">
        <is>
          <t>POST</t>
        </is>
      </c>
      <c r="H12" s="5" t="inlineStr">
        <is>
          <t>/api/v1/files</t>
        </is>
      </c>
      <c r="I12" s="5" t="inlineStr">
        <is>
          <t>patient:edit</t>
        </is>
      </c>
    </row>
    <row r="13" ht="31" customHeight="1">
      <c r="A13" s="7" t="n">
        <v>12</v>
      </c>
      <c r="B13" s="5" t="inlineStr">
        <is>
          <t>患者管理</t>
        </is>
      </c>
      <c r="C13" s="5" t="inlineStr">
        <is>
          <t>patient-create.html / visit-create.html</t>
        </is>
      </c>
      <c r="D13" s="5" t="inlineStr">
        <is>
          <t>血象报告识别 · 回填辅助检查</t>
        </is>
      </c>
      <c r="E13" s="5" t="inlineStr">
        <is>
          <t>PT05</t>
        </is>
      </c>
      <c r="F13" s="5" t="inlineStr">
        <is>
          <t>化验单识别（百度医疗 OCR）</t>
        </is>
      </c>
      <c r="G13" s="5" t="inlineStr">
        <is>
          <t>POST</t>
        </is>
      </c>
      <c r="H13" s="5" t="inlineStr">
        <is>
          <t>/api/v1/ocr/lab-report</t>
        </is>
      </c>
      <c r="I13" s="5" t="inlineStr">
        <is>
          <t>patient:edit</t>
        </is>
      </c>
    </row>
    <row r="14" ht="31" customHeight="1">
      <c r="A14" s="7" t="n">
        <v>13</v>
      </c>
      <c r="B14" s="5" t="inlineStr">
        <is>
          <t>患者管理</t>
        </is>
      </c>
      <c r="C14" s="5" t="inlineStr">
        <is>
          <t>patient-visits.html</t>
        </is>
      </c>
      <c r="D14" s="5" t="inlineStr">
        <is>
          <t>患者基本信息卡片 + 常见相关疾病 + 其他病史</t>
        </is>
      </c>
      <c r="E14" s="5" t="inlineStr">
        <is>
          <t>PT06</t>
        </is>
      </c>
      <c r="F14" s="5" t="inlineStr">
        <is>
          <t>患者详情</t>
        </is>
      </c>
      <c r="G14" s="5" t="inlineStr">
        <is>
          <t>GET</t>
        </is>
      </c>
      <c r="H14" s="5" t="inlineStr">
        <is>
          <t>/api/v1/patients/{patientId}</t>
        </is>
      </c>
      <c r="I14" s="5" t="inlineStr">
        <is>
          <t>patient:view</t>
        </is>
      </c>
    </row>
    <row r="15" ht="31" customHeight="1">
      <c r="A15" s="7" t="n">
        <v>14</v>
      </c>
      <c r="B15" s="5" t="inlineStr">
        <is>
          <t>患者管理</t>
        </is>
      </c>
      <c r="C15" s="5" t="inlineStr">
        <is>
          <t>patient-visits.html / visit-detail.html</t>
        </is>
      </c>
      <c r="D15" s="5" t="inlineStr">
        <is>
          <t>身份证号「眼睛」按钮</t>
        </is>
      </c>
      <c r="E15" s="5" t="inlineStr">
        <is>
          <t>PT07</t>
        </is>
      </c>
      <c r="F15" s="5" t="inlineStr">
        <is>
          <t>查看敏感信息明文</t>
        </is>
      </c>
      <c r="G15" s="5" t="inlineStr">
        <is>
          <t>GET</t>
        </is>
      </c>
      <c r="H15" s="5" t="inlineStr">
        <is>
          <t>/api/v1/patients/{patientId}/sensitive</t>
        </is>
      </c>
      <c r="I15" s="5" t="inlineStr">
        <is>
          <t>patient:sensitive</t>
        </is>
      </c>
    </row>
    <row r="16" ht="17.5" customHeight="1">
      <c r="A16" s="7" t="n">
        <v>15</v>
      </c>
      <c r="B16" s="5" t="inlineStr">
        <is>
          <t>患者管理</t>
        </is>
      </c>
      <c r="C16" s="5" t="inlineStr">
        <is>
          <t>patient-visits.html</t>
        </is>
      </c>
      <c r="D16" s="5" t="inlineStr">
        <is>
          <t>随访时间线</t>
        </is>
      </c>
      <c r="E16" s="5" t="inlineStr">
        <is>
          <t>PT08</t>
        </is>
      </c>
      <c r="F16" s="5" t="inlineStr">
        <is>
          <t>患者访视列表</t>
        </is>
      </c>
      <c r="G16" s="5" t="inlineStr">
        <is>
          <t>GET</t>
        </is>
      </c>
      <c r="H16" s="5" t="inlineStr">
        <is>
          <t>/api/v1/patients/{patientId}/visits</t>
        </is>
      </c>
      <c r="I16" s="5" t="inlineStr">
        <is>
          <t>patient:view</t>
        </is>
      </c>
    </row>
    <row r="17" ht="31" customHeight="1">
      <c r="A17" s="7" t="n">
        <v>16</v>
      </c>
      <c r="B17" s="5" t="inlineStr">
        <is>
          <t>患者管理</t>
        </is>
      </c>
      <c r="C17" s="5" t="inlineStr">
        <is>
          <t>patient-visits.html</t>
        </is>
      </c>
      <c r="D17" s="5" t="inlineStr">
        <is>
          <t>修改记录</t>
        </is>
      </c>
      <c r="E17" s="5" t="inlineStr">
        <is>
          <t>PT09</t>
        </is>
      </c>
      <c r="F17" s="5" t="inlineStr">
        <is>
          <t>修改记录</t>
        </is>
      </c>
      <c r="G17" s="5" t="inlineStr">
        <is>
          <t>GET</t>
        </is>
      </c>
      <c r="H17" s="5" t="inlineStr">
        <is>
          <t>/api/v1/patients/{patientId}/audit-logs</t>
        </is>
      </c>
      <c r="I17" s="5" t="inlineStr">
        <is>
          <t>patient:view</t>
        </is>
      </c>
    </row>
    <row r="18" ht="31" customHeight="1">
      <c r="A18" s="7" t="n">
        <v>17</v>
      </c>
      <c r="B18" s="5" t="inlineStr">
        <is>
          <t>患者管理</t>
        </is>
      </c>
      <c r="C18" s="5" t="inlineStr">
        <is>
          <t>patient-visits.html / visit-detail.html</t>
        </is>
      </c>
      <c r="D18" s="5" t="inlineStr">
        <is>
          <t>下载病历 / 下载本次病历</t>
        </is>
      </c>
      <c r="E18" s="5" t="inlineStr">
        <is>
          <t>PT10</t>
        </is>
      </c>
      <c r="F18" s="5" t="inlineStr">
        <is>
          <t>下载病历（PDF）</t>
        </is>
      </c>
      <c r="G18" s="5" t="inlineStr">
        <is>
          <t>GET</t>
        </is>
      </c>
      <c r="H18" s="5" t="inlineStr">
        <is>
          <t>/api/v1/patients/{patientId}/case-file</t>
        </is>
      </c>
      <c r="I18" s="5" t="inlineStr">
        <is>
          <t>patient:view</t>
        </is>
      </c>
    </row>
    <row r="19" ht="17.5" customHeight="1">
      <c r="A19" s="7" t="n">
        <v>18</v>
      </c>
      <c r="B19" s="5" t="inlineStr">
        <is>
          <t>患者管理</t>
        </is>
      </c>
      <c r="C19" s="5" t="inlineStr">
        <is>
          <t>patient-edit.html</t>
        </is>
      </c>
      <c r="D19" s="5" t="inlineStr">
        <is>
          <t>编辑档案 · 保存修改</t>
        </is>
      </c>
      <c r="E19" s="5" t="inlineStr">
        <is>
          <t>PT11</t>
        </is>
      </c>
      <c r="F19" s="5" t="inlineStr">
        <is>
          <t>编辑患者档案（含随访周期）</t>
        </is>
      </c>
      <c r="G19" s="5" t="inlineStr">
        <is>
          <t>PATCH</t>
        </is>
      </c>
      <c r="H19" s="5" t="inlineStr">
        <is>
          <t>/api/v1/patients/{patientId}</t>
        </is>
      </c>
      <c r="I19" s="5" t="inlineStr">
        <is>
          <t>patient:edit</t>
        </is>
      </c>
    </row>
    <row r="20" ht="17.5" customHeight="1">
      <c r="A20" s="7" t="n">
        <v>19</v>
      </c>
      <c r="B20" s="5" t="inlineStr">
        <is>
          <t>患者管理</t>
        </is>
      </c>
      <c r="C20" s="5" t="inlineStr">
        <is>
          <t>（页面暂无入口）</t>
        </is>
      </c>
      <c r="D20" s="5" t="inlineStr">
        <is>
          <t>标记脱落</t>
        </is>
      </c>
      <c r="E20" s="5" t="inlineStr">
        <is>
          <t>PT12</t>
        </is>
      </c>
      <c r="F20" s="5" t="inlineStr">
        <is>
          <t>标记脱落</t>
        </is>
      </c>
      <c r="G20" s="5" t="inlineStr">
        <is>
          <t>POST</t>
        </is>
      </c>
      <c r="H20" s="5" t="inlineStr">
        <is>
          <t>/api/v1/patients/{patientId}/withdraw</t>
        </is>
      </c>
      <c r="I20" s="5" t="inlineStr">
        <is>
          <t>patient:edit</t>
        </is>
      </c>
    </row>
    <row r="21" ht="44.5" customHeight="1">
      <c r="A21" s="7" t="n">
        <v>20</v>
      </c>
      <c r="B21" s="5" t="inlineStr">
        <is>
          <t>患者管理</t>
        </is>
      </c>
      <c r="C21" s="5" t="inlineStr">
        <is>
          <t>patient-create.html / visit-create.html / visit-detail.html</t>
        </is>
      </c>
      <c r="D21" s="5" t="inlineStr">
        <is>
          <t>病例表单（7 个模块）</t>
        </is>
      </c>
      <c r="E21" s="5" t="inlineStr">
        <is>
          <t>V01</t>
        </is>
      </c>
      <c r="F21" s="5" t="inlineStr">
        <is>
          <t>CRF 模板（字段字典）</t>
        </is>
      </c>
      <c r="G21" s="5" t="inlineStr">
        <is>
          <t>GET</t>
        </is>
      </c>
      <c r="H21" s="5" t="inlineStr">
        <is>
          <t>/api/v1/studies/{studyId}/crf-template</t>
        </is>
      </c>
      <c r="I21" s="5" t="inlineStr">
        <is>
          <t>patient:view</t>
        </is>
      </c>
    </row>
    <row r="22" ht="44.5" customHeight="1">
      <c r="A22" s="7" t="n">
        <v>21</v>
      </c>
      <c r="B22" s="5" t="inlineStr">
        <is>
          <t>患者管理</t>
        </is>
      </c>
      <c r="C22" s="5" t="inlineStr">
        <is>
          <t>visit-create.html（新增随访）；随访管理「＋新增随访」也跳到这里</t>
        </is>
      </c>
      <c r="D22" s="5" t="inlineStr">
        <is>
          <t>保存本次随访 / 暂存草稿</t>
        </is>
      </c>
      <c r="E22" s="5" t="inlineStr">
        <is>
          <t>V02</t>
        </is>
      </c>
      <c r="F22" s="5" t="inlineStr">
        <is>
          <t>新增随访</t>
        </is>
      </c>
      <c r="G22" s="5" t="inlineStr">
        <is>
          <t>POST</t>
        </is>
      </c>
      <c r="H22" s="5" t="inlineStr">
        <is>
          <t>/api/v1/patients/{patientId}/visits</t>
        </is>
      </c>
      <c r="I22" s="5" t="inlineStr">
        <is>
          <t>patient:edit</t>
        </is>
      </c>
    </row>
    <row r="23" ht="17.5" customHeight="1">
      <c r="A23" s="7" t="n">
        <v>22</v>
      </c>
      <c r="B23" s="5" t="inlineStr">
        <is>
          <t>患者管理</t>
        </is>
      </c>
      <c r="C23" s="5" t="inlineStr">
        <is>
          <t>visit-detail.html</t>
        </is>
      </c>
      <c r="D23" s="5" t="inlineStr">
        <is>
          <t>访视详情（7 个模块 + 异常指标）</t>
        </is>
      </c>
      <c r="E23" s="5" t="inlineStr">
        <is>
          <t>V03</t>
        </is>
      </c>
      <c r="F23" s="5" t="inlineStr">
        <is>
          <t>访视详情</t>
        </is>
      </c>
      <c r="G23" s="5" t="inlineStr">
        <is>
          <t>GET</t>
        </is>
      </c>
      <c r="H23" s="5" t="inlineStr">
        <is>
          <t>/api/v1/visits/{visitId}</t>
        </is>
      </c>
      <c r="I23" s="5" t="inlineStr">
        <is>
          <t>patient:view</t>
        </is>
      </c>
    </row>
    <row r="24" ht="31" customHeight="1">
      <c r="A24" s="7" t="n">
        <v>23</v>
      </c>
      <c r="B24" s="5" t="inlineStr">
        <is>
          <t>患者管理</t>
        </is>
      </c>
      <c r="C24" s="5" t="inlineStr">
        <is>
          <t>visit-create.html?visit=（编辑随访）</t>
        </is>
      </c>
      <c r="D24" s="5" t="inlineStr">
        <is>
          <t>编辑本次随访 · 保存修改</t>
        </is>
      </c>
      <c r="E24" s="5" t="inlineStr">
        <is>
          <t>V04</t>
        </is>
      </c>
      <c r="F24" s="5" t="inlineStr">
        <is>
          <t>编辑随访</t>
        </is>
      </c>
      <c r="G24" s="5" t="inlineStr">
        <is>
          <t>PUT</t>
        </is>
      </c>
      <c r="H24" s="5" t="inlineStr">
        <is>
          <t>/api/v1/visits/{visitId}</t>
        </is>
      </c>
      <c r="I24" s="5" t="inlineStr">
        <is>
          <t>patient:edit</t>
        </is>
      </c>
    </row>
    <row r="25" ht="31" customHeight="1">
      <c r="A25" s="7" t="n">
        <v>24</v>
      </c>
      <c r="B25" s="5" t="inlineStr">
        <is>
          <t>随访管理</t>
        </is>
      </c>
      <c r="C25" s="5" t="inlineStr">
        <is>
          <t>followups.html</t>
        </is>
      </c>
      <c r="D25" s="5" t="inlineStr">
        <is>
          <t>顶部 4 项指标 + 随访计划列表 + 检索筛选分页</t>
        </is>
      </c>
      <c r="E25" s="5" t="inlineStr">
        <is>
          <t>F01</t>
        </is>
      </c>
      <c r="F25" s="5" t="inlineStr">
        <is>
          <t>随访计划列表（含顶部指标）</t>
        </is>
      </c>
      <c r="G25" s="5" t="inlineStr">
        <is>
          <t>GET</t>
        </is>
      </c>
      <c r="H25" s="5" t="inlineStr">
        <is>
          <t>/api/v1/followups</t>
        </is>
      </c>
      <c r="I25" s="5" t="inlineStr">
        <is>
          <t>patient:view</t>
        </is>
      </c>
    </row>
    <row r="26" ht="31" customHeight="1">
      <c r="A26" s="7" t="n">
        <v>25</v>
      </c>
      <c r="B26" s="5" t="inlineStr">
        <is>
          <t>数据质控</t>
        </is>
      </c>
      <c r="C26" s="5" t="inlineStr">
        <is>
          <t>data-quality.html</t>
        </is>
      </c>
      <c r="D26" s="5" t="inlineStr">
        <is>
          <t>顶部 4 项指标 + 质控问题列表 + 检索筛选分页</t>
        </is>
      </c>
      <c r="E26" s="5" t="inlineStr">
        <is>
          <t>Q01</t>
        </is>
      </c>
      <c r="F26" s="5" t="inlineStr">
        <is>
          <t>质控问题列表（含顶部指标）</t>
        </is>
      </c>
      <c r="G26" s="5" t="inlineStr">
        <is>
          <t>GET</t>
        </is>
      </c>
      <c r="H26" s="5" t="inlineStr">
        <is>
          <t>/api/v1/qc/issues</t>
        </is>
      </c>
      <c r="I26" s="5" t="inlineStr">
        <is>
          <t>patient:view</t>
        </is>
      </c>
    </row>
    <row r="27" ht="17.5" customHeight="1">
      <c r="A27" s="7" t="n">
        <v>26</v>
      </c>
      <c r="B27" s="5" t="inlineStr">
        <is>
          <t>数据质控</t>
        </is>
      </c>
      <c r="C27" s="5" t="inlineStr">
        <is>
          <t>data-quality.html</t>
        </is>
      </c>
      <c r="D27" s="5" t="inlineStr">
        <is>
          <t>「标记已处理」</t>
        </is>
      </c>
      <c r="E27" s="5" t="inlineStr">
        <is>
          <t>Q02</t>
        </is>
      </c>
      <c r="F27" s="5" t="inlineStr">
        <is>
          <t>处理质控问题</t>
        </is>
      </c>
      <c r="G27" s="5" t="inlineStr">
        <is>
          <t>PATCH</t>
        </is>
      </c>
      <c r="H27" s="5" t="inlineStr">
        <is>
          <t>/api/v1/qc/issues/{issueId}</t>
        </is>
      </c>
      <c r="I27" s="5" t="inlineStr">
        <is>
          <t>qc:resolve</t>
        </is>
      </c>
    </row>
    <row r="28" ht="17.5" customHeight="1">
      <c r="A28" s="7" t="n">
        <v>27</v>
      </c>
      <c r="B28" s="5" t="inlineStr">
        <is>
          <t>数据质控</t>
        </is>
      </c>
      <c r="C28" s="5" t="inlineStr">
        <is>
          <t>data-quality.html</t>
        </is>
      </c>
      <c r="D28" s="5" t="inlineStr">
        <is>
          <t>「运行质控检查」</t>
        </is>
      </c>
      <c r="E28" s="5" t="inlineStr">
        <is>
          <t>Q03</t>
        </is>
      </c>
      <c r="F28" s="5" t="inlineStr">
        <is>
          <t>运行质控检查</t>
        </is>
      </c>
      <c r="G28" s="5" t="inlineStr">
        <is>
          <t>POST</t>
        </is>
      </c>
      <c r="H28" s="5" t="inlineStr">
        <is>
          <t>/api/v1/qc/run</t>
        </is>
      </c>
      <c r="I28" s="5" t="inlineStr">
        <is>
          <t>qc:resolve</t>
        </is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8" customWidth="1" min="4" max="4"/>
    <col width="18" customWidth="1" min="5" max="5"/>
    <col width="8" customWidth="1" min="6" max="6"/>
    <col width="26" customWidth="1" min="7" max="7"/>
    <col width="8" customWidth="1" min="8" max="8"/>
    <col width="10" customWidth="1" min="9" max="9"/>
    <col width="30" customWidth="1" min="10" max="10"/>
    <col width="9" customWidth="1" min="11" max="11"/>
    <col width="6" customWidth="1" min="12" max="12"/>
    <col width="44" customWidth="1" min="13" max="13"/>
    <col width="24" customWidth="1" min="14" max="14"/>
    <col width="46" customWidth="1" min="15" max="15"/>
    <col width="44" customWidth="1" min="16" max="16"/>
  </cols>
  <sheetData>
    <row r="1" ht="22" customHeight="1">
      <c r="A1" s="3" t="inlineStr">
        <is>
          <t>菜单</t>
        </is>
      </c>
      <c r="B1" s="3" t="inlineStr">
        <is>
          <t>页面</t>
        </is>
      </c>
      <c r="C1" s="3" t="inlineStr">
        <is>
          <t>页面区块 / 功能</t>
        </is>
      </c>
      <c r="D1" s="3" t="inlineStr">
        <is>
          <t>接口编号</t>
        </is>
      </c>
      <c r="E1" s="3" t="inlineStr">
        <is>
          <t>接口中文说明</t>
        </is>
      </c>
      <c r="F1" s="3" t="inlineStr">
        <is>
          <t>请求方式</t>
        </is>
      </c>
      <c r="G1" s="3" t="inlineStr">
        <is>
          <t>请求地址</t>
        </is>
      </c>
      <c r="H1" s="3" t="inlineStr">
        <is>
          <t>类别</t>
        </is>
      </c>
      <c r="I1" s="3" t="inlineStr">
        <is>
          <t>参数位置</t>
        </is>
      </c>
      <c r="J1" s="3" t="inlineStr">
        <is>
          <t>字段</t>
        </is>
      </c>
      <c r="K1" s="3" t="inlineStr">
        <is>
          <t>类型</t>
        </is>
      </c>
      <c r="L1" s="3" t="inlineStr">
        <is>
          <t>必填</t>
        </is>
      </c>
      <c r="M1" s="3" t="inlineStr">
        <is>
          <t>说明 / 格式（页面口径行：页面显示 · 定义）</t>
        </is>
      </c>
      <c r="N1" s="3" t="inlineStr">
        <is>
          <t>示例</t>
        </is>
      </c>
      <c r="O1" s="3" t="inlineStr">
        <is>
          <t>页面参数计算方式</t>
        </is>
      </c>
      <c r="P1" s="3" t="inlineStr">
        <is>
          <t>其它</t>
        </is>
      </c>
    </row>
    <row r="2" ht="17.5" customHeight="1">
      <c r="A2" s="8" t="inlineStr">
        <is>
          <t>全局</t>
        </is>
      </c>
      <c r="B2" s="8" t="inlineStr">
        <is>
          <t>login.html</t>
        </is>
      </c>
      <c r="C2" s="8" t="inlineStr">
        <is>
          <t>登录</t>
        </is>
      </c>
      <c r="D2" s="9" t="inlineStr">
        <is>
          <t>G01</t>
        </is>
      </c>
      <c r="E2" s="10" t="inlineStr">
        <is>
          <t>登录</t>
        </is>
      </c>
      <c r="F2" s="11" t="inlineStr">
        <is>
          <t>POST</t>
        </is>
      </c>
      <c r="G2" s="12" t="inlineStr">
        <is>
          <t>/api/v1/auth/login</t>
        </is>
      </c>
      <c r="H2" s="13" t="inlineStr">
        <is>
          <t>入参</t>
        </is>
      </c>
      <c r="I2" s="14" t="inlineStr">
        <is>
          <t>body</t>
        </is>
      </c>
      <c r="J2" s="14" t="inlineStr">
        <is>
          <t>username</t>
        </is>
      </c>
      <c r="K2" s="14" t="inlineStr">
        <is>
          <t>string</t>
        </is>
      </c>
      <c r="L2" s="13" t="inlineStr">
        <is>
          <t>是</t>
        </is>
      </c>
      <c r="M2" s="14" t="inlineStr">
        <is>
          <t>用户名，账号由管理员开通，不开放注册</t>
        </is>
      </c>
      <c r="N2" s="14" t="inlineStr">
        <is>
          <t>chen</t>
        </is>
      </c>
      <c r="O2" s="14" t="inlineStr"/>
      <c r="P2" s="8" t="inlineStr">
        <is>
          <t>成功后写 HttpOnly Cookie `ra_session`（Secure、SameSite=Lax），前端不保存 token。
账号或密码错误统一返回 40101，不区分是哪一项错。
连续 5 次错误锁定 15 分钟，返回 42301。
前端登录页的「记住用户名」仍存本机，与本接口无关。</t>
        </is>
      </c>
    </row>
    <row r="3" ht="17.5" customHeight="1">
      <c r="A3" s="15" t="n"/>
      <c r="B3" s="15" t="n"/>
      <c r="C3" s="15" t="n"/>
      <c r="D3" s="15" t="n"/>
      <c r="E3" s="15" t="n"/>
      <c r="F3" s="15" t="n"/>
      <c r="G3" s="15" t="n"/>
      <c r="H3" s="16" t="inlineStr">
        <is>
          <t>入参</t>
        </is>
      </c>
      <c r="I3" s="17" t="inlineStr">
        <is>
          <t>body</t>
        </is>
      </c>
      <c r="J3" s="17" t="inlineStr">
        <is>
          <t>password</t>
        </is>
      </c>
      <c r="K3" s="17" t="inlineStr">
        <is>
          <t>string</t>
        </is>
      </c>
      <c r="L3" s="16" t="inlineStr">
        <is>
          <t>是</t>
        </is>
      </c>
      <c r="M3" s="17" t="inlineStr">
        <is>
          <t>密码，HTTPS 传输；服务端 bcrypt/argon2 校验</t>
        </is>
      </c>
      <c r="N3" s="17" t="inlineStr">
        <is>
          <t>******</t>
        </is>
      </c>
      <c r="O3" s="17" t="inlineStr"/>
      <c r="P3" s="15" t="n"/>
    </row>
    <row r="4" ht="31" customHeight="1">
      <c r="A4" s="15" t="n"/>
      <c r="B4" s="15" t="n"/>
      <c r="C4" s="15" t="n"/>
      <c r="D4" s="15" t="n"/>
      <c r="E4" s="15" t="n"/>
      <c r="F4" s="15" t="n"/>
      <c r="G4" s="15" t="n"/>
      <c r="H4" s="16" t="inlineStr">
        <is>
          <t>入参</t>
        </is>
      </c>
      <c r="I4" s="17" t="inlineStr">
        <is>
          <t>body</t>
        </is>
      </c>
      <c r="J4" s="17" t="inlineStr">
        <is>
          <t>remember</t>
        </is>
      </c>
      <c r="K4" s="17" t="inlineStr">
        <is>
          <t>boolean</t>
        </is>
      </c>
      <c r="L4" s="16" t="inlineStr">
        <is>
          <t>否</t>
        </is>
      </c>
      <c r="M4" s="17" t="inlineStr">
        <is>
          <t>记住我：true 会话 30 天；false 关闭浏览器失效（另有 2 小时无操作超时）</t>
        </is>
      </c>
      <c r="N4" s="17" t="inlineStr">
        <is>
          <t>true</t>
        </is>
      </c>
      <c r="O4" s="17" t="inlineStr"/>
      <c r="P4" s="15" t="n"/>
    </row>
    <row r="5" ht="17.5" customHeight="1">
      <c r="A5" s="15" t="n"/>
      <c r="B5" s="15" t="n"/>
      <c r="C5" s="15" t="n"/>
      <c r="D5" s="15" t="n"/>
      <c r="E5" s="15" t="n"/>
      <c r="F5" s="15" t="n"/>
      <c r="G5" s="15" t="n"/>
      <c r="H5" s="18" t="inlineStr">
        <is>
          <t>出参</t>
        </is>
      </c>
      <c r="I5" s="19" t="inlineStr">
        <is>
          <t>data</t>
        </is>
      </c>
      <c r="J5" s="19" t="inlineStr">
        <is>
          <t>user.id</t>
        </is>
      </c>
      <c r="K5" s="19" t="inlineStr">
        <is>
          <t>string</t>
        </is>
      </c>
      <c r="L5" s="18" t="inlineStr"/>
      <c r="M5" s="19" t="inlineStr">
        <is>
          <t>用户 ID</t>
        </is>
      </c>
      <c r="N5" s="19" t="inlineStr">
        <is>
          <t>u_1001</t>
        </is>
      </c>
      <c r="O5" s="19" t="inlineStr"/>
      <c r="P5" s="15" t="n"/>
    </row>
    <row r="6" ht="17.5" customHeight="1">
      <c r="A6" s="15" t="n"/>
      <c r="B6" s="15" t="n"/>
      <c r="C6" s="15" t="n"/>
      <c r="D6" s="15" t="n"/>
      <c r="E6" s="15" t="n"/>
      <c r="F6" s="15" t="n"/>
      <c r="G6" s="15" t="n"/>
      <c r="H6" s="18" t="inlineStr">
        <is>
          <t>出参</t>
        </is>
      </c>
      <c r="I6" s="19" t="inlineStr">
        <is>
          <t>data</t>
        </is>
      </c>
      <c r="J6" s="19" t="inlineStr">
        <is>
          <t>user.username</t>
        </is>
      </c>
      <c r="K6" s="19" t="inlineStr">
        <is>
          <t>string</t>
        </is>
      </c>
      <c r="L6" s="18" t="inlineStr"/>
      <c r="M6" s="19" t="inlineStr">
        <is>
          <t>用户名</t>
        </is>
      </c>
      <c r="N6" s="19" t="inlineStr">
        <is>
          <t>chen</t>
        </is>
      </c>
      <c r="O6" s="19" t="inlineStr"/>
      <c r="P6" s="15" t="n"/>
    </row>
    <row r="7" ht="17.5" customHeight="1">
      <c r="A7" s="15" t="n"/>
      <c r="B7" s="15" t="n"/>
      <c r="C7" s="15" t="n"/>
      <c r="D7" s="15" t="n"/>
      <c r="E7" s="15" t="n"/>
      <c r="F7" s="15" t="n"/>
      <c r="G7" s="15" t="n"/>
      <c r="H7" s="18" t="inlineStr">
        <is>
          <t>出参</t>
        </is>
      </c>
      <c r="I7" s="19" t="inlineStr">
        <is>
          <t>data</t>
        </is>
      </c>
      <c r="J7" s="19" t="inlineStr">
        <is>
          <t>user.name</t>
        </is>
      </c>
      <c r="K7" s="19" t="inlineStr">
        <is>
          <t>string</t>
        </is>
      </c>
      <c r="L7" s="18" t="inlineStr"/>
      <c r="M7" s="19" t="inlineStr">
        <is>
          <t>姓名（顶栏显示）</t>
        </is>
      </c>
      <c r="N7" s="19" t="inlineStr">
        <is>
          <t>陈医生</t>
        </is>
      </c>
      <c r="O7" s="19" t="inlineStr"/>
      <c r="P7" s="15" t="n"/>
    </row>
    <row r="8" ht="17.5" customHeight="1">
      <c r="A8" s="15" t="n"/>
      <c r="B8" s="15" t="n"/>
      <c r="C8" s="15" t="n"/>
      <c r="D8" s="15" t="n"/>
      <c r="E8" s="15" t="n"/>
      <c r="F8" s="15" t="n"/>
      <c r="G8" s="15" t="n"/>
      <c r="H8" s="18" t="inlineStr">
        <is>
          <t>出参</t>
        </is>
      </c>
      <c r="I8" s="19" t="inlineStr">
        <is>
          <t>data</t>
        </is>
      </c>
      <c r="J8" s="19" t="inlineStr">
        <is>
          <t>user.roleCode</t>
        </is>
      </c>
      <c r="K8" s="19" t="inlineStr">
        <is>
          <t>enum</t>
        </is>
      </c>
      <c r="L8" s="18" t="inlineStr"/>
      <c r="M8" s="19" t="inlineStr">
        <is>
          <t>角色编码，见枚举 roleCode</t>
        </is>
      </c>
      <c r="N8" s="19" t="inlineStr">
        <is>
          <t>investigator</t>
        </is>
      </c>
      <c r="O8" s="19" t="inlineStr"/>
      <c r="P8" s="15" t="n"/>
    </row>
    <row r="9" ht="17.5" customHeight="1">
      <c r="A9" s="15" t="n"/>
      <c r="B9" s="15" t="n"/>
      <c r="C9" s="15" t="n"/>
      <c r="D9" s="15" t="n"/>
      <c r="E9" s="15" t="n"/>
      <c r="F9" s="15" t="n"/>
      <c r="G9" s="15" t="n"/>
      <c r="H9" s="18" t="inlineStr">
        <is>
          <t>出参</t>
        </is>
      </c>
      <c r="I9" s="19" t="inlineStr">
        <is>
          <t>data</t>
        </is>
      </c>
      <c r="J9" s="19" t="inlineStr">
        <is>
          <t>user.roleName</t>
        </is>
      </c>
      <c r="K9" s="19" t="inlineStr">
        <is>
          <t>string</t>
        </is>
      </c>
      <c r="L9" s="18" t="inlineStr"/>
      <c r="M9" s="19" t="inlineStr">
        <is>
          <t>角色中文名（顶栏显示）</t>
        </is>
      </c>
      <c r="N9" s="19" t="inlineStr">
        <is>
          <t>研究者</t>
        </is>
      </c>
      <c r="O9" s="19" t="inlineStr"/>
      <c r="P9" s="15" t="n"/>
    </row>
    <row r="10" ht="17.5" customHeight="1">
      <c r="A10" s="15" t="n"/>
      <c r="B10" s="15" t="n"/>
      <c r="C10" s="15" t="n"/>
      <c r="D10" s="15" t="n"/>
      <c r="E10" s="15" t="n"/>
      <c r="F10" s="15" t="n"/>
      <c r="G10" s="15" t="n"/>
      <c r="H10" s="18" t="inlineStr">
        <is>
          <t>出参</t>
        </is>
      </c>
      <c r="I10" s="19" t="inlineStr">
        <is>
          <t>data</t>
        </is>
      </c>
      <c r="J10" s="19" t="inlineStr">
        <is>
          <t>user.siteId</t>
        </is>
      </c>
      <c r="K10" s="19" t="inlineStr">
        <is>
          <t>string</t>
        </is>
      </c>
      <c r="L10" s="18" t="inlineStr"/>
      <c r="M10" s="19" t="inlineStr">
        <is>
          <t>所属研究中心 ID（建档默认中心）</t>
        </is>
      </c>
      <c r="N10" s="19" t="inlineStr">
        <is>
          <t>site_01</t>
        </is>
      </c>
      <c r="O10" s="19" t="inlineStr"/>
      <c r="P10" s="15" t="n"/>
    </row>
    <row r="11" ht="17.5" customHeight="1">
      <c r="A11" s="15" t="n"/>
      <c r="B11" s="15" t="n"/>
      <c r="C11" s="15" t="n"/>
      <c r="D11" s="15" t="n"/>
      <c r="E11" s="15" t="n"/>
      <c r="F11" s="15" t="n"/>
      <c r="G11" s="15" t="n"/>
      <c r="H11" s="18" t="inlineStr">
        <is>
          <t>出参</t>
        </is>
      </c>
      <c r="I11" s="19" t="inlineStr">
        <is>
          <t>data</t>
        </is>
      </c>
      <c r="J11" s="19" t="inlineStr">
        <is>
          <t>mustChangePassword</t>
        </is>
      </c>
      <c r="K11" s="19" t="inlineStr">
        <is>
          <t>boolean</t>
        </is>
      </c>
      <c r="L11" s="18" t="inlineStr"/>
      <c r="M11" s="19" t="inlineStr">
        <is>
          <t>是否需要先改密码（首次登录）</t>
        </is>
      </c>
      <c r="N11" s="19" t="inlineStr">
        <is>
          <t>false</t>
        </is>
      </c>
      <c r="O11" s="19" t="inlineStr"/>
      <c r="P11" s="15" t="n"/>
    </row>
    <row r="12" ht="31" customHeight="1">
      <c r="A12" s="15" t="n"/>
      <c r="B12" s="15" t="n"/>
      <c r="C12" s="15" t="n"/>
      <c r="D12" s="15" t="n"/>
      <c r="E12" s="15" t="n"/>
      <c r="F12" s="15" t="n"/>
      <c r="G12" s="15" t="n"/>
      <c r="H12" s="18" t="inlineStr">
        <is>
          <t>出参</t>
        </is>
      </c>
      <c r="I12" s="19" t="inlineStr">
        <is>
          <t>data</t>
        </is>
      </c>
      <c r="J12" s="19" t="inlineStr">
        <is>
          <t>permissions</t>
        </is>
      </c>
      <c r="K12" s="19" t="inlineStr">
        <is>
          <t>string[]</t>
        </is>
      </c>
      <c r="L12" s="18" t="inlineStr"/>
      <c r="M12" s="19" t="inlineStr">
        <is>
          <t>当前研究库下的权限点，前端据此显示/隐藏按钮</t>
        </is>
      </c>
      <c r="N12" s="19" t="inlineStr">
        <is>
          <t>["patient:view","patient:edit"]</t>
        </is>
      </c>
      <c r="O12" s="19" t="inlineStr"/>
      <c r="P12" s="15" t="n"/>
    </row>
    <row r="13" ht="17.5" customHeight="1">
      <c r="A13" s="8" t="inlineStr">
        <is>
          <t>全局</t>
        </is>
      </c>
      <c r="B13" s="8" t="inlineStr">
        <is>
          <t>所有页面（顶栏退出按钮）</t>
        </is>
      </c>
      <c r="C13" s="8" t="inlineStr">
        <is>
          <t>退出登录</t>
        </is>
      </c>
      <c r="D13" s="9" t="inlineStr">
        <is>
          <t>G02</t>
        </is>
      </c>
      <c r="E13" s="10" t="inlineStr">
        <is>
          <t>退出登录</t>
        </is>
      </c>
      <c r="F13" s="11" t="inlineStr">
        <is>
          <t>POST</t>
        </is>
      </c>
      <c r="G13" s="12" t="inlineStr">
        <is>
          <t>/api/v1/auth/logout</t>
        </is>
      </c>
      <c r="H13" s="13" t="inlineStr">
        <is>
          <t>入参</t>
        </is>
      </c>
      <c r="I13" s="14" t="inlineStr">
        <is>
          <t>—</t>
        </is>
      </c>
      <c r="J13" s="14" t="inlineStr">
        <is>
          <t>（无）</t>
        </is>
      </c>
      <c r="K13" s="14" t="inlineStr"/>
      <c r="L13" s="13" t="inlineStr"/>
      <c r="M13" s="14" t="inlineStr"/>
      <c r="N13" s="14" t="inlineStr"/>
      <c r="O13" s="14" t="inlineStr"/>
      <c r="P13" s="8" t="inlineStr">
        <is>
          <t>服务端作废会话并清除 Cookie；前端随后跳转 login.html。</t>
        </is>
      </c>
    </row>
    <row r="14" ht="17.5" customHeight="1">
      <c r="A14" s="15" t="n"/>
      <c r="B14" s="15" t="n"/>
      <c r="C14" s="15" t="n"/>
      <c r="D14" s="15" t="n"/>
      <c r="E14" s="15" t="n"/>
      <c r="F14" s="15" t="n"/>
      <c r="G14" s="15" t="n"/>
      <c r="H14" s="18" t="inlineStr">
        <is>
          <t>出参</t>
        </is>
      </c>
      <c r="I14" s="19" t="inlineStr">
        <is>
          <t>data</t>
        </is>
      </c>
      <c r="J14" s="19" t="inlineStr">
        <is>
          <t>(data)</t>
        </is>
      </c>
      <c r="K14" s="19" t="inlineStr">
        <is>
          <t>null</t>
        </is>
      </c>
      <c r="L14" s="18" t="inlineStr"/>
      <c r="M14" s="19" t="inlineStr">
        <is>
          <t>无返回数据</t>
        </is>
      </c>
      <c r="N14" s="19" t="inlineStr">
        <is>
          <t>null</t>
        </is>
      </c>
      <c r="O14" s="19" t="inlineStr"/>
      <c r="P14" s="15" t="n"/>
    </row>
    <row r="15" ht="17.5" customHeight="1">
      <c r="A15" s="8" t="inlineStr">
        <is>
          <t>全局</t>
        </is>
      </c>
      <c r="B15" s="8" t="inlineStr">
        <is>
          <t>所有页面（加载时）</t>
        </is>
      </c>
      <c r="C15" s="8" t="inlineStr">
        <is>
          <t>顶栏账号 / 登录校验</t>
        </is>
      </c>
      <c r="D15" s="9" t="inlineStr">
        <is>
          <t>G03</t>
        </is>
      </c>
      <c r="E15" s="10" t="inlineStr">
        <is>
          <t>获取当前用户</t>
        </is>
      </c>
      <c r="F15" s="11" t="inlineStr">
        <is>
          <t>GET</t>
        </is>
      </c>
      <c r="G15" s="12" t="inlineStr">
        <is>
          <t>/api/v1/auth/me</t>
        </is>
      </c>
      <c r="H15" s="13" t="inlineStr">
        <is>
          <t>入参</t>
        </is>
      </c>
      <c r="I15" s="14" t="inlineStr">
        <is>
          <t>—</t>
        </is>
      </c>
      <c r="J15" s="14" t="inlineStr">
        <is>
          <t>（无）</t>
        </is>
      </c>
      <c r="K15" s="14" t="inlineStr"/>
      <c r="L15" s="13" t="inlineStr"/>
      <c r="M15" s="14" t="inlineStr"/>
      <c r="N15" s="14" t="inlineStr"/>
      <c r="O15" s="14" t="inlineStr"/>
      <c r="P15" s="8" t="inlineStr">
        <is>
          <t>每个页面加载时调用一次；返回 401（code=40101）时前端跳 login.html?next=当前地址。
替代现在 js/boot.js 中的 currentUser()。</t>
        </is>
      </c>
    </row>
    <row r="16" ht="17.5" customHeight="1">
      <c r="A16" s="15" t="n"/>
      <c r="B16" s="15" t="n"/>
      <c r="C16" s="15" t="n"/>
      <c r="D16" s="15" t="n"/>
      <c r="E16" s="15" t="n"/>
      <c r="F16" s="15" t="n"/>
      <c r="G16" s="15" t="n"/>
      <c r="H16" s="18" t="inlineStr">
        <is>
          <t>出参</t>
        </is>
      </c>
      <c r="I16" s="19" t="inlineStr">
        <is>
          <t>data</t>
        </is>
      </c>
      <c r="J16" s="19" t="inlineStr">
        <is>
          <t>user</t>
        </is>
      </c>
      <c r="K16" s="19" t="inlineStr">
        <is>
          <t>object</t>
        </is>
      </c>
      <c r="L16" s="18" t="inlineStr"/>
      <c r="M16" s="19" t="inlineStr">
        <is>
          <t>同 G01 的 user</t>
        </is>
      </c>
      <c r="N16" s="19" t="inlineStr"/>
      <c r="O16" s="19" t="inlineStr"/>
      <c r="P16" s="15" t="n"/>
    </row>
    <row r="17" ht="17.5" customHeight="1">
      <c r="A17" s="15" t="n"/>
      <c r="B17" s="15" t="n"/>
      <c r="C17" s="15" t="n"/>
      <c r="D17" s="15" t="n"/>
      <c r="E17" s="15" t="n"/>
      <c r="F17" s="15" t="n"/>
      <c r="G17" s="15" t="n"/>
      <c r="H17" s="18" t="inlineStr">
        <is>
          <t>出参</t>
        </is>
      </c>
      <c r="I17" s="19" t="inlineStr">
        <is>
          <t>data</t>
        </is>
      </c>
      <c r="J17" s="19" t="inlineStr">
        <is>
          <t>permissions</t>
        </is>
      </c>
      <c r="K17" s="19" t="inlineStr">
        <is>
          <t>string[]</t>
        </is>
      </c>
      <c r="L17" s="18" t="inlineStr"/>
      <c r="M17" s="19" t="inlineStr">
        <is>
          <t>同 G01</t>
        </is>
      </c>
      <c r="N17" s="19" t="inlineStr"/>
      <c r="O17" s="19" t="inlineStr"/>
      <c r="P17" s="15" t="n"/>
    </row>
    <row r="18" ht="17.5" customHeight="1">
      <c r="A18" s="15" t="n"/>
      <c r="B18" s="15" t="n"/>
      <c r="C18" s="15" t="n"/>
      <c r="D18" s="15" t="n"/>
      <c r="E18" s="15" t="n"/>
      <c r="F18" s="15" t="n"/>
      <c r="G18" s="15" t="n"/>
      <c r="H18" s="18" t="inlineStr">
        <is>
          <t>出参</t>
        </is>
      </c>
      <c r="I18" s="19" t="inlineStr">
        <is>
          <t>data</t>
        </is>
      </c>
      <c r="J18" s="19" t="inlineStr">
        <is>
          <t>currentStudyId</t>
        </is>
      </c>
      <c r="K18" s="19" t="inlineStr">
        <is>
          <t>string</t>
        </is>
      </c>
      <c r="L18" s="18" t="inlineStr"/>
      <c r="M18" s="19" t="inlineStr">
        <is>
          <t>当前研究库编码</t>
        </is>
      </c>
      <c r="N18" s="19" t="inlineStr">
        <is>
          <t>RA</t>
        </is>
      </c>
      <c r="O18" s="19" t="inlineStr"/>
      <c r="P18" s="15" t="n"/>
    </row>
    <row r="19" ht="17.5" customHeight="1">
      <c r="A19" s="8" t="inlineStr">
        <is>
          <t>全局</t>
        </is>
      </c>
      <c r="B19" s="8" t="inlineStr">
        <is>
          <t>所有页面（侧栏）</t>
        </is>
      </c>
      <c r="C19" s="8" t="inlineStr">
        <is>
          <t>研究库切换菜单</t>
        </is>
      </c>
      <c r="D19" s="9" t="inlineStr">
        <is>
          <t>G04</t>
        </is>
      </c>
      <c r="E19" s="10" t="inlineStr">
        <is>
          <t>研究库列表</t>
        </is>
      </c>
      <c r="F19" s="11" t="inlineStr">
        <is>
          <t>GET</t>
        </is>
      </c>
      <c r="G19" s="12" t="inlineStr">
        <is>
          <t>/api/v1/studies</t>
        </is>
      </c>
      <c r="H19" s="13" t="inlineStr">
        <is>
          <t>入参</t>
        </is>
      </c>
      <c r="I19" s="14" t="inlineStr">
        <is>
          <t>—</t>
        </is>
      </c>
      <c r="J19" s="14" t="inlineStr">
        <is>
          <t>（无）</t>
        </is>
      </c>
      <c r="K19" s="14" t="inlineStr"/>
      <c r="L19" s="13" t="inlineStr"/>
      <c r="M19" s="14" t="inlineStr"/>
      <c r="N19" s="14" t="inlineStr"/>
      <c r="O19" s="14" t="inlineStr"/>
      <c r="P19" s="8" t="inlineStr">
        <is>
          <t>一期只有 RA 为 ready，其余 5 个（AS、SS、RA-ILD、RA-MS、FM）为 pending，由后台配置表维护。</t>
        </is>
      </c>
    </row>
    <row r="20" ht="17.5" customHeight="1">
      <c r="A20" s="15" t="n"/>
      <c r="B20" s="15" t="n"/>
      <c r="C20" s="15" t="n"/>
      <c r="D20" s="15" t="n"/>
      <c r="E20" s="15" t="n"/>
      <c r="F20" s="15" t="n"/>
      <c r="G20" s="15" t="n"/>
      <c r="H20" s="18" t="inlineStr">
        <is>
          <t>出参</t>
        </is>
      </c>
      <c r="I20" s="19" t="inlineStr">
        <is>
          <t>data</t>
        </is>
      </c>
      <c r="J20" s="19" t="inlineStr">
        <is>
          <t>items[].code</t>
        </is>
      </c>
      <c r="K20" s="19" t="inlineStr">
        <is>
          <t>string</t>
        </is>
      </c>
      <c r="L20" s="18" t="inlineStr"/>
      <c r="M20" s="19" t="inlineStr">
        <is>
          <t>研究库编码</t>
        </is>
      </c>
      <c r="N20" s="19" t="inlineStr">
        <is>
          <t>RA</t>
        </is>
      </c>
      <c r="O20" s="19" t="inlineStr"/>
      <c r="P20" s="15" t="n"/>
    </row>
    <row r="21" ht="17.5" customHeight="1">
      <c r="A21" s="15" t="n"/>
      <c r="B21" s="15" t="n"/>
      <c r="C21" s="15" t="n"/>
      <c r="D21" s="15" t="n"/>
      <c r="E21" s="15" t="n"/>
      <c r="F21" s="15" t="n"/>
      <c r="G21" s="15" t="n"/>
      <c r="H21" s="18" t="inlineStr">
        <is>
          <t>出参</t>
        </is>
      </c>
      <c r="I21" s="19" t="inlineStr">
        <is>
          <t>data</t>
        </is>
      </c>
      <c r="J21" s="19" t="inlineStr">
        <is>
          <t>items[].name</t>
        </is>
      </c>
      <c r="K21" s="19" t="inlineStr">
        <is>
          <t>string</t>
        </is>
      </c>
      <c r="L21" s="18" t="inlineStr"/>
      <c r="M21" s="19" t="inlineStr">
        <is>
          <t>中文名</t>
        </is>
      </c>
      <c r="N21" s="19" t="inlineStr">
        <is>
          <t>类风湿关节炎</t>
        </is>
      </c>
      <c r="O21" s="19" t="inlineStr"/>
      <c r="P21" s="15" t="n"/>
    </row>
    <row r="22" ht="17.5" customHeight="1">
      <c r="A22" s="15" t="n"/>
      <c r="B22" s="15" t="n"/>
      <c r="C22" s="15" t="n"/>
      <c r="D22" s="15" t="n"/>
      <c r="E22" s="15" t="n"/>
      <c r="F22" s="15" t="n"/>
      <c r="G22" s="15" t="n"/>
      <c r="H22" s="18" t="inlineStr">
        <is>
          <t>出参</t>
        </is>
      </c>
      <c r="I22" s="19" t="inlineStr">
        <is>
          <t>data</t>
        </is>
      </c>
      <c r="J22" s="19" t="inlineStr">
        <is>
          <t>items[].nameEn</t>
        </is>
      </c>
      <c r="K22" s="19" t="inlineStr">
        <is>
          <t>string</t>
        </is>
      </c>
      <c r="L22" s="18" t="inlineStr"/>
      <c r="M22" s="19" t="inlineStr">
        <is>
          <t>英文名</t>
        </is>
      </c>
      <c r="N22" s="19" t="inlineStr">
        <is>
          <t>Rheumatoid Arthritis</t>
        </is>
      </c>
      <c r="O22" s="19" t="inlineStr"/>
      <c r="P22" s="15" t="n"/>
    </row>
    <row r="23" ht="31" customHeight="1">
      <c r="A23" s="15" t="n"/>
      <c r="B23" s="15" t="n"/>
      <c r="C23" s="15" t="n"/>
      <c r="D23" s="15" t="n"/>
      <c r="E23" s="15" t="n"/>
      <c r="F23" s="15" t="n"/>
      <c r="G23" s="15" t="n"/>
      <c r="H23" s="18" t="inlineStr">
        <is>
          <t>出参</t>
        </is>
      </c>
      <c r="I23" s="19" t="inlineStr">
        <is>
          <t>data</t>
        </is>
      </c>
      <c r="J23" s="19" t="inlineStr">
        <is>
          <t>items[].status</t>
        </is>
      </c>
      <c r="K23" s="19" t="inlineStr">
        <is>
          <t>enum</t>
        </is>
      </c>
      <c r="L23" s="18" t="inlineStr"/>
      <c r="M23" s="19" t="inlineStr">
        <is>
          <t>ready 已接入（可进入） / pending 待接入（置灰）</t>
        </is>
      </c>
      <c r="N23" s="19" t="inlineStr">
        <is>
          <t>ready</t>
        </is>
      </c>
      <c r="O23" s="19" t="inlineStr"/>
      <c r="P23" s="15" t="n"/>
    </row>
    <row r="24" ht="17.5" customHeight="1">
      <c r="A24" s="15" t="n"/>
      <c r="B24" s="15" t="n"/>
      <c r="C24" s="15" t="n"/>
      <c r="D24" s="15" t="n"/>
      <c r="E24" s="15" t="n"/>
      <c r="F24" s="15" t="n"/>
      <c r="G24" s="15" t="n"/>
      <c r="H24" s="18" t="inlineStr">
        <is>
          <t>出参</t>
        </is>
      </c>
      <c r="I24" s="19" t="inlineStr">
        <is>
          <t>data</t>
        </is>
      </c>
      <c r="J24" s="19" t="inlineStr">
        <is>
          <t>items[].patientCount</t>
        </is>
      </c>
      <c r="K24" s="19" t="inlineStr">
        <is>
          <t>integer</t>
        </is>
      </c>
      <c r="L24" s="18" t="inlineStr"/>
      <c r="M24" s="19" t="inlineStr">
        <is>
          <t>患者数（仅 ready 返回）</t>
        </is>
      </c>
      <c r="N24" s="19" t="inlineStr">
        <is>
          <t>128</t>
        </is>
      </c>
      <c r="O24" s="19" t="inlineStr"/>
      <c r="P24" s="15" t="n"/>
    </row>
    <row r="25" ht="17.5" customHeight="1">
      <c r="A25" s="15" t="n"/>
      <c r="B25" s="15" t="n"/>
      <c r="C25" s="15" t="n"/>
      <c r="D25" s="15" t="n"/>
      <c r="E25" s="15" t="n"/>
      <c r="F25" s="15" t="n"/>
      <c r="G25" s="15" t="n"/>
      <c r="H25" s="18" t="inlineStr">
        <is>
          <t>出参</t>
        </is>
      </c>
      <c r="I25" s="19" t="inlineStr">
        <is>
          <t>data</t>
        </is>
      </c>
      <c r="J25" s="19" t="inlineStr">
        <is>
          <t>items[].abnormalLabPatientCount</t>
        </is>
      </c>
      <c r="K25" s="19" t="inlineStr">
        <is>
          <t>integer</t>
        </is>
      </c>
      <c r="L25" s="18" t="inlineStr"/>
      <c r="M25" s="19" t="inlineStr">
        <is>
          <t>异常检验患者数（仅 ready 返回）</t>
        </is>
      </c>
      <c r="N25" s="19" t="inlineStr">
        <is>
          <t>34</t>
        </is>
      </c>
      <c r="O25" s="19" t="inlineStr"/>
      <c r="P25" s="15" t="n"/>
    </row>
    <row r="26" ht="31" customHeight="1">
      <c r="A26" s="15" t="n"/>
      <c r="B26" s="15" t="n"/>
      <c r="C26" s="15" t="n"/>
      <c r="D26" s="15" t="n"/>
      <c r="E26" s="15" t="n"/>
      <c r="F26" s="15" t="n"/>
      <c r="G26" s="15" t="n"/>
      <c r="H26" s="20" t="inlineStr">
        <is>
          <t>页面口径</t>
        </is>
      </c>
      <c r="I26" s="21" t="inlineStr">
        <is>
          <t>研究库切换</t>
        </is>
      </c>
      <c r="J26" s="21" t="inlineStr">
        <is>
          <t>patientCount</t>
        </is>
      </c>
      <c r="K26" s="21" t="inlineStr">
        <is>
          <t>整数</t>
        </is>
      </c>
      <c r="L26" s="20" t="inlineStr"/>
      <c r="M26" s="21" t="inlineStr">
        <is>
          <t>G-01 N 患者
研究库患者数</t>
        </is>
      </c>
      <c r="N26" s="21" t="inlineStr"/>
      <c r="O26" s="21">
        <f> B-02 统计范围内患者数</f>
        <v/>
      </c>
      <c r="P26" s="15" t="n"/>
    </row>
    <row r="27" ht="44.5" customHeight="1">
      <c r="A27" s="15" t="n"/>
      <c r="B27" s="15" t="n"/>
      <c r="C27" s="15" t="n"/>
      <c r="D27" s="15" t="n"/>
      <c r="E27" s="15" t="n"/>
      <c r="F27" s="15" t="n"/>
      <c r="G27" s="15" t="n"/>
      <c r="H27" s="20" t="inlineStr">
        <is>
          <t>页面口径</t>
        </is>
      </c>
      <c r="I27" s="21" t="inlineStr">
        <is>
          <t>研究库切换</t>
        </is>
      </c>
      <c r="J27" s="21" t="inlineStr">
        <is>
          <t>abnormalLabPatientCount</t>
        </is>
      </c>
      <c r="K27" s="21" t="inlineStr">
        <is>
          <t>整数</t>
        </is>
      </c>
      <c r="L27" s="20" t="inlineStr"/>
      <c r="M27" s="21" t="inlineStr">
        <is>
          <t>G-02 N 异常检验
最近一次访视有异常检验的患者数</t>
        </is>
      </c>
      <c r="N27" s="21" t="inlineStr"/>
      <c r="O27" s="21" t="inlineStr">
        <is>
          <t>每位患者取最近一次已提交访视，任一 LAB 字段值超出参考区间（labFlag = H 或 L）即计 1 人（口径待确认）</t>
        </is>
      </c>
      <c r="P27" s="15" t="n"/>
    </row>
    <row r="28" ht="17.5" customHeight="1">
      <c r="A28" s="8" t="inlineStr">
        <is>
          <t>项目总览</t>
        </is>
      </c>
      <c r="B28" s="8" t="inlineStr">
        <is>
          <t>projects.html</t>
        </is>
      </c>
      <c r="C28" s="8" t="inlineStr">
        <is>
          <t>顶部 4 张卡片 + 研究执行概览 4 项 + 项目基本信息</t>
        </is>
      </c>
      <c r="D28" s="9" t="inlineStr">
        <is>
          <t>P01</t>
        </is>
      </c>
      <c r="E28" s="10" t="inlineStr">
        <is>
          <t>项目总览（一个接口返回页面全部数据）</t>
        </is>
      </c>
      <c r="F28" s="11" t="inlineStr">
        <is>
          <t>GET</t>
        </is>
      </c>
      <c r="G28" s="12" t="inlineStr">
        <is>
          <t>/api/v1/studies/{studyId}/overview</t>
        </is>
      </c>
      <c r="H28" s="13" t="inlineStr">
        <is>
          <t>入参</t>
        </is>
      </c>
      <c r="I28" s="14" t="inlineStr">
        <is>
          <t>path</t>
        </is>
      </c>
      <c r="J28" s="14" t="inlineStr">
        <is>
          <t>studyId</t>
        </is>
      </c>
      <c r="K28" s="14" t="inlineStr">
        <is>
          <t>string</t>
        </is>
      </c>
      <c r="L28" s="13" t="inlineStr">
        <is>
          <t>是</t>
        </is>
      </c>
      <c r="M28" s="14" t="inlineStr">
        <is>
          <t>研究库编码</t>
        </is>
      </c>
      <c r="N28" s="14" t="inlineStr">
        <is>
          <t>RA</t>
        </is>
      </c>
      <c r="O28" s="14" t="inlineStr"/>
      <c r="P28" s="8" t="inlineStr">
        <is>
          <t>8 个数字一次返回，服务端可缓存 5 分钟。
项目基本信息（研究类型、研究周期、主要数据域、计划入组数）一期直接写在 study 配置表，不做后台维护页面。</t>
        </is>
      </c>
    </row>
    <row r="29" ht="17.5" customHeight="1">
      <c r="A29" s="15" t="n"/>
      <c r="B29" s="15" t="n"/>
      <c r="C29" s="15" t="n"/>
      <c r="D29" s="15" t="n"/>
      <c r="E29" s="15" t="n"/>
      <c r="F29" s="15" t="n"/>
      <c r="G29" s="15" t="n"/>
      <c r="H29" s="18" t="inlineStr">
        <is>
          <t>出参</t>
        </is>
      </c>
      <c r="I29" s="19" t="inlineStr">
        <is>
          <t>data</t>
        </is>
      </c>
      <c r="J29" s="19" t="inlineStr">
        <is>
          <t>study.code</t>
        </is>
      </c>
      <c r="K29" s="19" t="inlineStr">
        <is>
          <t>string</t>
        </is>
      </c>
      <c r="L29" s="18" t="inlineStr"/>
      <c r="M29" s="19" t="inlineStr">
        <is>
          <t>研究库编码</t>
        </is>
      </c>
      <c r="N29" s="19" t="inlineStr">
        <is>
          <t>RA</t>
        </is>
      </c>
      <c r="O29" s="19" t="inlineStr"/>
      <c r="P29" s="15" t="n"/>
    </row>
    <row r="30" ht="17.5" customHeight="1">
      <c r="A30" s="15" t="n"/>
      <c r="B30" s="15" t="n"/>
      <c r="C30" s="15" t="n"/>
      <c r="D30" s="15" t="n"/>
      <c r="E30" s="15" t="n"/>
      <c r="F30" s="15" t="n"/>
      <c r="G30" s="15" t="n"/>
      <c r="H30" s="18" t="inlineStr">
        <is>
          <t>出参</t>
        </is>
      </c>
      <c r="I30" s="19" t="inlineStr">
        <is>
          <t>data</t>
        </is>
      </c>
      <c r="J30" s="19" t="inlineStr">
        <is>
          <t>study.title</t>
        </is>
      </c>
      <c r="K30" s="19" t="inlineStr">
        <is>
          <t>string</t>
        </is>
      </c>
      <c r="L30" s="18" t="inlineStr"/>
      <c r="M30" s="19" t="inlineStr">
        <is>
          <t>页面标题</t>
        </is>
      </c>
      <c r="N30" s="19" t="inlineStr">
        <is>
          <t>RA 类风湿研究</t>
        </is>
      </c>
      <c r="O30" s="19" t="inlineStr"/>
      <c r="P30" s="15" t="n"/>
    </row>
    <row r="31" ht="44.5" customHeight="1">
      <c r="A31" s="15" t="n"/>
      <c r="B31" s="15" t="n"/>
      <c r="C31" s="15" t="n"/>
      <c r="D31" s="15" t="n"/>
      <c r="E31" s="15" t="n"/>
      <c r="F31" s="15" t="n"/>
      <c r="G31" s="15" t="n"/>
      <c r="H31" s="18" t="inlineStr">
        <is>
          <t>出参</t>
        </is>
      </c>
      <c r="I31" s="19" t="inlineStr">
        <is>
          <t>data</t>
        </is>
      </c>
      <c r="J31" s="19" t="inlineStr">
        <is>
          <t>study.subtitle</t>
        </is>
      </c>
      <c r="K31" s="19" t="inlineStr">
        <is>
          <t>string</t>
        </is>
      </c>
      <c r="L31" s="18" t="inlineStr"/>
      <c r="M31" s="19" t="inlineStr">
        <is>
          <t>标题下说明</t>
        </is>
      </c>
      <c r="N31" s="19" t="inlineStr">
        <is>
          <t>当前研究项目的执行进度、中心概况、患者入组与数据质量总览。</t>
        </is>
      </c>
      <c r="O31" s="19" t="inlineStr"/>
      <c r="P31" s="15" t="n"/>
    </row>
    <row r="32" ht="17.5" customHeight="1">
      <c r="A32" s="15" t="n"/>
      <c r="B32" s="15" t="n"/>
      <c r="C32" s="15" t="n"/>
      <c r="D32" s="15" t="n"/>
      <c r="E32" s="15" t="n"/>
      <c r="F32" s="15" t="n"/>
      <c r="G32" s="15" t="n"/>
      <c r="H32" s="18" t="inlineStr">
        <is>
          <t>出参</t>
        </is>
      </c>
      <c r="I32" s="19" t="inlineStr">
        <is>
          <t>data</t>
        </is>
      </c>
      <c r="J32" s="19" t="inlineStr">
        <is>
          <t>cards.enrolledCount</t>
        </is>
      </c>
      <c r="K32" s="19" t="inlineStr">
        <is>
          <t>integer</t>
        </is>
      </c>
      <c r="L32" s="18" t="inlineStr"/>
      <c r="M32" s="19" t="inlineStr">
        <is>
          <t>已入组患者（卡片 1）</t>
        </is>
      </c>
      <c r="N32" s="19" t="inlineStr">
        <is>
          <t>128</t>
        </is>
      </c>
      <c r="O32" s="19" t="inlineStr"/>
      <c r="P32" s="15" t="n"/>
    </row>
    <row r="33" ht="17.5" customHeight="1">
      <c r="A33" s="15" t="n"/>
      <c r="B33" s="15" t="n"/>
      <c r="C33" s="15" t="n"/>
      <c r="D33" s="15" t="n"/>
      <c r="E33" s="15" t="n"/>
      <c r="F33" s="15" t="n"/>
      <c r="G33" s="15" t="n"/>
      <c r="H33" s="18" t="inlineStr">
        <is>
          <t>出参</t>
        </is>
      </c>
      <c r="I33" s="19" t="inlineStr">
        <is>
          <t>data</t>
        </is>
      </c>
      <c r="J33" s="19" t="inlineStr">
        <is>
          <t>cards.followupCompletionRate</t>
        </is>
      </c>
      <c r="K33" s="19" t="inlineStr">
        <is>
          <t>number</t>
        </is>
      </c>
      <c r="L33" s="18" t="inlineStr"/>
      <c r="M33" s="19" t="inlineStr">
        <is>
          <t>计划随访完成率（卡片 2），0–1 小数，保留 4 位</t>
        </is>
      </c>
      <c r="N33" s="19" t="inlineStr">
        <is>
          <t>0.9100</t>
        </is>
      </c>
      <c r="O33" s="19" t="inlineStr"/>
      <c r="P33" s="15" t="n"/>
    </row>
    <row r="34" ht="31" customHeight="1">
      <c r="A34" s="15" t="n"/>
      <c r="B34" s="15" t="n"/>
      <c r="C34" s="15" t="n"/>
      <c r="D34" s="15" t="n"/>
      <c r="E34" s="15" t="n"/>
      <c r="F34" s="15" t="n"/>
      <c r="G34" s="15" t="n"/>
      <c r="H34" s="18" t="inlineStr">
        <is>
          <t>出参</t>
        </is>
      </c>
      <c r="I34" s="19" t="inlineStr">
        <is>
          <t>data</t>
        </is>
      </c>
      <c r="J34" s="19" t="inlineStr">
        <is>
          <t>cards.dataQualityRate</t>
        </is>
      </c>
      <c r="K34" s="19" t="inlineStr">
        <is>
          <t>number</t>
        </is>
      </c>
      <c r="L34" s="18" t="inlineStr"/>
      <c r="M34" s="19" t="inlineStr">
        <is>
          <t>整体数据质量（卡片 3），0–1 小数，保留 4 位；页面显示 1 位小数百分比</t>
        </is>
      </c>
      <c r="N34" s="19" t="inlineStr">
        <is>
          <t>0.9260</t>
        </is>
      </c>
      <c r="O34" s="19" t="inlineStr"/>
      <c r="P34" s="15" t="n"/>
    </row>
    <row r="35" ht="17.5" customHeight="1">
      <c r="A35" s="15" t="n"/>
      <c r="B35" s="15" t="n"/>
      <c r="C35" s="15" t="n"/>
      <c r="D35" s="15" t="n"/>
      <c r="E35" s="15" t="n"/>
      <c r="F35" s="15" t="n"/>
      <c r="G35" s="15" t="n"/>
      <c r="H35" s="18" t="inlineStr">
        <is>
          <t>出参</t>
        </is>
      </c>
      <c r="I35" s="19" t="inlineStr">
        <is>
          <t>data</t>
        </is>
      </c>
      <c r="J35" s="19" t="inlineStr">
        <is>
          <t>cards.siteCount</t>
        </is>
      </c>
      <c r="K35" s="19" t="inlineStr">
        <is>
          <t>integer</t>
        </is>
      </c>
      <c r="L35" s="18" t="inlineStr"/>
      <c r="M35" s="19" t="inlineStr">
        <is>
          <t>参与研究中心数（卡片 4）</t>
        </is>
      </c>
      <c r="N35" s="19" t="inlineStr">
        <is>
          <t>1</t>
        </is>
      </c>
      <c r="O35" s="19" t="inlineStr"/>
      <c r="P35" s="15" t="n"/>
    </row>
    <row r="36" ht="17.5" customHeight="1">
      <c r="A36" s="15" t="n"/>
      <c r="B36" s="15" t="n"/>
      <c r="C36" s="15" t="n"/>
      <c r="D36" s="15" t="n"/>
      <c r="E36" s="15" t="n"/>
      <c r="F36" s="15" t="n"/>
      <c r="G36" s="15" t="n"/>
      <c r="H36" s="18" t="inlineStr">
        <is>
          <t>出参</t>
        </is>
      </c>
      <c r="I36" s="19" t="inlineStr">
        <is>
          <t>data</t>
        </is>
      </c>
      <c r="J36" s="19" t="inlineStr">
        <is>
          <t>progress.enrolledCount</t>
        </is>
      </c>
      <c r="K36" s="19" t="inlineStr">
        <is>
          <t>integer</t>
        </is>
      </c>
      <c r="L36" s="18" t="inlineStr"/>
      <c r="M36" s="19" t="inlineStr">
        <is>
          <t>跟踪患者（分子）</t>
        </is>
      </c>
      <c r="N36" s="19" t="inlineStr">
        <is>
          <t>128</t>
        </is>
      </c>
      <c r="O36" s="19" t="inlineStr"/>
      <c r="P36" s="15" t="n"/>
    </row>
    <row r="37" ht="17.5" customHeight="1">
      <c r="A37" s="15" t="n"/>
      <c r="B37" s="15" t="n"/>
      <c r="C37" s="15" t="n"/>
      <c r="D37" s="15" t="n"/>
      <c r="E37" s="15" t="n"/>
      <c r="F37" s="15" t="n"/>
      <c r="G37" s="15" t="n"/>
      <c r="H37" s="18" t="inlineStr">
        <is>
          <t>出参</t>
        </is>
      </c>
      <c r="I37" s="19" t="inlineStr">
        <is>
          <t>data</t>
        </is>
      </c>
      <c r="J37" s="19" t="inlineStr">
        <is>
          <t>progress.targetEnrollment</t>
        </is>
      </c>
      <c r="K37" s="19" t="inlineStr">
        <is>
          <t>integer</t>
        </is>
      </c>
      <c r="L37" s="18" t="inlineStr"/>
      <c r="M37" s="19" t="inlineStr">
        <is>
          <t>计划入组数（分母，后台配置）</t>
        </is>
      </c>
      <c r="N37" s="19" t="inlineStr">
        <is>
          <t>180</t>
        </is>
      </c>
      <c r="O37" s="19" t="inlineStr"/>
      <c r="P37" s="15" t="n"/>
    </row>
    <row r="38" ht="17.5" customHeight="1">
      <c r="A38" s="15" t="n"/>
      <c r="B38" s="15" t="n"/>
      <c r="C38" s="15" t="n"/>
      <c r="D38" s="15" t="n"/>
      <c r="E38" s="15" t="n"/>
      <c r="F38" s="15" t="n"/>
      <c r="G38" s="15" t="n"/>
      <c r="H38" s="18" t="inlineStr">
        <is>
          <t>出参</t>
        </is>
      </c>
      <c r="I38" s="19" t="inlineStr">
        <is>
          <t>data</t>
        </is>
      </c>
      <c r="J38" s="19" t="inlineStr">
        <is>
          <t>progress.enrollmentRate</t>
        </is>
      </c>
      <c r="K38" s="19" t="inlineStr">
        <is>
          <t>number</t>
        </is>
      </c>
      <c r="L38" s="18" t="inlineStr"/>
      <c r="M38" s="19" t="inlineStr">
        <is>
          <t>入组进度，0–1 小数</t>
        </is>
      </c>
      <c r="N38" s="19" t="inlineStr">
        <is>
          <t>0.7111</t>
        </is>
      </c>
      <c r="O38" s="19" t="inlineStr"/>
      <c r="P38" s="15" t="n"/>
    </row>
    <row r="39" ht="17.5" customHeight="1">
      <c r="A39" s="15" t="n"/>
      <c r="B39" s="15" t="n"/>
      <c r="C39" s="15" t="n"/>
      <c r="D39" s="15" t="n"/>
      <c r="E39" s="15" t="n"/>
      <c r="F39" s="15" t="n"/>
      <c r="G39" s="15" t="n"/>
      <c r="H39" s="18" t="inlineStr">
        <is>
          <t>出参</t>
        </is>
      </c>
      <c r="I39" s="19" t="inlineStr">
        <is>
          <t>data</t>
        </is>
      </c>
      <c r="J39" s="19" t="inlineStr">
        <is>
          <t>progress.pendingFollowupCount</t>
        </is>
      </c>
      <c r="K39" s="19" t="inlineStr">
        <is>
          <t>integer</t>
        </is>
      </c>
      <c r="L39" s="18" t="inlineStr"/>
      <c r="M39" s="19" t="inlineStr">
        <is>
          <t>待随访患者</t>
        </is>
      </c>
      <c r="N39" s="19" t="inlineStr">
        <is>
          <t>23</t>
        </is>
      </c>
      <c r="O39" s="19" t="inlineStr"/>
      <c r="P39" s="15" t="n"/>
    </row>
    <row r="40" ht="17.5" customHeight="1">
      <c r="A40" s="15" t="n"/>
      <c r="B40" s="15" t="n"/>
      <c r="C40" s="15" t="n"/>
      <c r="D40" s="15" t="n"/>
      <c r="E40" s="15" t="n"/>
      <c r="F40" s="15" t="n"/>
      <c r="G40" s="15" t="n"/>
      <c r="H40" s="18" t="inlineStr">
        <is>
          <t>出参</t>
        </is>
      </c>
      <c r="I40" s="19" t="inlineStr">
        <is>
          <t>data</t>
        </is>
      </c>
      <c r="J40" s="19" t="inlineStr">
        <is>
          <t>progress.openQcCount</t>
        </is>
      </c>
      <c r="K40" s="19" t="inlineStr">
        <is>
          <t>integer</t>
        </is>
      </c>
      <c r="L40" s="18" t="inlineStr"/>
      <c r="M40" s="19" t="inlineStr">
        <is>
          <t>待处理质控问题</t>
        </is>
      </c>
      <c r="N40" s="19" t="inlineStr">
        <is>
          <t>56</t>
        </is>
      </c>
      <c r="O40" s="19" t="inlineStr"/>
      <c r="P40" s="15" t="n"/>
    </row>
    <row r="41" ht="31" customHeight="1">
      <c r="A41" s="15" t="n"/>
      <c r="B41" s="15" t="n"/>
      <c r="C41" s="15" t="n"/>
      <c r="D41" s="15" t="n"/>
      <c r="E41" s="15" t="n"/>
      <c r="F41" s="15" t="n"/>
      <c r="G41" s="15" t="n"/>
      <c r="H41" s="18" t="inlineStr">
        <is>
          <t>出参</t>
        </is>
      </c>
      <c r="I41" s="19" t="inlineStr">
        <is>
          <t>data</t>
        </is>
      </c>
      <c r="J41" s="19" t="inlineStr">
        <is>
          <t>progress.researchReadyVisitCount</t>
        </is>
      </c>
      <c r="K41" s="19" t="inlineStr">
        <is>
          <t>integer</t>
        </is>
      </c>
      <c r="L41" s="18" t="inlineStr"/>
      <c r="M41" s="19" t="inlineStr">
        <is>
          <t>研究级可用记录</t>
        </is>
      </c>
      <c r="N41" s="19" t="inlineStr">
        <is>
          <t>241</t>
        </is>
      </c>
      <c r="O41" s="19" t="inlineStr"/>
      <c r="P41" s="15" t="n"/>
    </row>
    <row r="42" ht="17.5" customHeight="1">
      <c r="A42" s="15" t="n"/>
      <c r="B42" s="15" t="n"/>
      <c r="C42" s="15" t="n"/>
      <c r="D42" s="15" t="n"/>
      <c r="E42" s="15" t="n"/>
      <c r="F42" s="15" t="n"/>
      <c r="G42" s="15" t="n"/>
      <c r="H42" s="18" t="inlineStr">
        <is>
          <t>出参</t>
        </is>
      </c>
      <c r="I42" s="19" t="inlineStr">
        <is>
          <t>data</t>
        </is>
      </c>
      <c r="J42" s="19" t="inlineStr">
        <is>
          <t>profile[].item</t>
        </is>
      </c>
      <c r="K42" s="19" t="inlineStr">
        <is>
          <t>string</t>
        </is>
      </c>
      <c r="L42" s="18" t="inlineStr"/>
      <c r="M42" s="19" t="inlineStr">
        <is>
          <t>项目基本信息 · 项目</t>
        </is>
      </c>
      <c r="N42" s="19" t="inlineStr">
        <is>
          <t>研究类型</t>
        </is>
      </c>
      <c r="O42" s="19" t="inlineStr"/>
      <c r="P42" s="15" t="n"/>
    </row>
    <row r="43" ht="17.5" customHeight="1">
      <c r="A43" s="15" t="n"/>
      <c r="B43" s="15" t="n"/>
      <c r="C43" s="15" t="n"/>
      <c r="D43" s="15" t="n"/>
      <c r="E43" s="15" t="n"/>
      <c r="F43" s="15" t="n"/>
      <c r="G43" s="15" t="n"/>
      <c r="H43" s="18" t="inlineStr">
        <is>
          <t>出参</t>
        </is>
      </c>
      <c r="I43" s="19" t="inlineStr">
        <is>
          <t>data</t>
        </is>
      </c>
      <c r="J43" s="19" t="inlineStr">
        <is>
          <t>profile[].value</t>
        </is>
      </c>
      <c r="K43" s="19" t="inlineStr">
        <is>
          <t>string</t>
        </is>
      </c>
      <c r="L43" s="18" t="inlineStr"/>
      <c r="M43" s="19" t="inlineStr">
        <is>
          <t>当前信息</t>
        </is>
      </c>
      <c r="N43" s="19" t="inlineStr">
        <is>
          <t>多中心真实世界研究</t>
        </is>
      </c>
      <c r="O43" s="19" t="inlineStr"/>
      <c r="P43" s="15" t="n"/>
    </row>
    <row r="44" ht="31" customHeight="1">
      <c r="A44" s="15" t="n"/>
      <c r="B44" s="15" t="n"/>
      <c r="C44" s="15" t="n"/>
      <c r="D44" s="15" t="n"/>
      <c r="E44" s="15" t="n"/>
      <c r="F44" s="15" t="n"/>
      <c r="G44" s="15" t="n"/>
      <c r="H44" s="18" t="inlineStr">
        <is>
          <t>出参</t>
        </is>
      </c>
      <c r="I44" s="19" t="inlineStr">
        <is>
          <t>data</t>
        </is>
      </c>
      <c r="J44" s="19" t="inlineStr">
        <is>
          <t>profile[].note</t>
        </is>
      </c>
      <c r="K44" s="19" t="inlineStr">
        <is>
          <t>string</t>
        </is>
      </c>
      <c r="L44" s="18" t="inlineStr"/>
      <c r="M44" s="19" t="inlineStr">
        <is>
          <t>说明</t>
        </is>
      </c>
      <c r="N44" s="19" t="inlineStr">
        <is>
          <t>纵向观察 RA 患者疾病与治疗过程</t>
        </is>
      </c>
      <c r="O44" s="19" t="inlineStr"/>
      <c r="P44" s="15" t="n"/>
    </row>
    <row r="45" ht="17.5" customHeight="1">
      <c r="A45" s="15" t="n"/>
      <c r="B45" s="15" t="n"/>
      <c r="C45" s="15" t="n"/>
      <c r="D45" s="15" t="n"/>
      <c r="E45" s="15" t="n"/>
      <c r="F45" s="15" t="n"/>
      <c r="G45" s="15" t="n"/>
      <c r="H45" s="18" t="inlineStr">
        <is>
          <t>出参</t>
        </is>
      </c>
      <c r="I45" s="19" t="inlineStr">
        <is>
          <t>data</t>
        </is>
      </c>
      <c r="J45" s="19" t="inlineStr">
        <is>
          <t>statAt</t>
        </is>
      </c>
      <c r="K45" s="19" t="inlineStr">
        <is>
          <t>datetime</t>
        </is>
      </c>
      <c r="L45" s="18" t="inlineStr"/>
      <c r="M45" s="19" t="inlineStr">
        <is>
          <t>统计时间</t>
        </is>
      </c>
      <c r="N45" s="19" t="inlineStr">
        <is>
          <t>2026-09-30T10:00:00+08:00</t>
        </is>
      </c>
      <c r="O45" s="19" t="inlineStr"/>
      <c r="P45" s="15" t="n"/>
    </row>
    <row r="46" ht="31" customHeight="1">
      <c r="A46" s="15" t="n"/>
      <c r="B46" s="15" t="n"/>
      <c r="C46" s="15" t="n"/>
      <c r="D46" s="15" t="n"/>
      <c r="E46" s="15" t="n"/>
      <c r="F46" s="15" t="n"/>
      <c r="G46" s="15" t="n"/>
      <c r="H46" s="20" t="inlineStr">
        <is>
          <t>页面口径</t>
        </is>
      </c>
      <c r="I46" s="21" t="inlineStr">
        <is>
          <t>卡片 1</t>
        </is>
      </c>
      <c r="J46" s="21" t="inlineStr">
        <is>
          <t>cards.enrolledCount</t>
        </is>
      </c>
      <c r="K46" s="21" t="inlineStr">
        <is>
          <t>整数</t>
        </is>
      </c>
      <c r="L46" s="20" t="inlineStr"/>
      <c r="M46" s="21" t="inlineStr">
        <is>
          <t>P-01 已入组患者
研究库中已建档的患者总数</t>
        </is>
      </c>
      <c r="N46" s="21" t="inlineStr"/>
      <c r="O46" s="21" t="inlineStr">
        <is>
          <t>COUNT(patient)，范围见 B-02（含已脱落）</t>
        </is>
      </c>
      <c r="P46" s="15" t="n"/>
    </row>
    <row r="47" ht="125.5" customHeight="1">
      <c r="A47" s="15" t="n"/>
      <c r="B47" s="15" t="n"/>
      <c r="C47" s="15" t="n"/>
      <c r="D47" s="15" t="n"/>
      <c r="E47" s="15" t="n"/>
      <c r="F47" s="15" t="n"/>
      <c r="G47" s="15" t="n"/>
      <c r="H47" s="20" t="inlineStr">
        <is>
          <t>页面口径</t>
        </is>
      </c>
      <c r="I47" s="21" t="inlineStr">
        <is>
          <t>卡片 2</t>
        </is>
      </c>
      <c r="J47" s="21" t="inlineStr">
        <is>
          <t>cards.followupCompletionRate</t>
        </is>
      </c>
      <c r="K47" s="21" t="inlineStr">
        <is>
          <t>0–1，页面整数百分比</t>
        </is>
      </c>
      <c r="L47" s="20" t="inlineStr"/>
      <c r="M47" s="21" t="inlineStr">
        <is>
          <t>P-02 计划随访完成率
截至今天应完成的计划访视中，实际已完成的比例（访视级）</t>
        </is>
      </c>
      <c r="N47" s="21" t="inlineStr"/>
      <c r="O47" s="21" t="inlineStr">
        <is>
          <t>对每位患者（含已脱落者脱落前的部分）：
应完成次数 = 从「随访观察起始」到 min(今天, 脱落日期) 之间，按随访周期应发生的访视次数（含基线）= floor(间隔月数 / 周期) + 1；
已完成次数 = 同期内已提交访视次数，且每位患者不超过其应完成次数。
完成率 = Σ已完成 / Σ应完成。
注：是否设访视窗口（如 ±30 天内才算按期）待确认，一期不设窗口。</t>
        </is>
      </c>
      <c r="P47" s="15" t="n"/>
    </row>
    <row r="48" ht="44.5" customHeight="1">
      <c r="A48" s="15" t="n"/>
      <c r="B48" s="15" t="n"/>
      <c r="C48" s="15" t="n"/>
      <c r="D48" s="15" t="n"/>
      <c r="E48" s="15" t="n"/>
      <c r="F48" s="15" t="n"/>
      <c r="G48" s="15" t="n"/>
      <c r="H48" s="20" t="inlineStr">
        <is>
          <t>页面口径</t>
        </is>
      </c>
      <c r="I48" s="21" t="inlineStr">
        <is>
          <t>卡片 3</t>
        </is>
      </c>
      <c r="J48" s="21" t="inlineStr">
        <is>
          <t>cards.dataQualityRate</t>
        </is>
      </c>
      <c r="K48" s="21" t="inlineStr">
        <is>
          <t>0–1，页面 1 位小数百分比</t>
        </is>
      </c>
      <c r="L48" s="20" t="inlineStr"/>
      <c r="M48" s="21" t="inlineStr">
        <is>
          <t>P-03 整体数据质量
无待处理质控问题的患者占比（与数据质控页 Q-01 同一口径）</t>
        </is>
      </c>
      <c r="N48" s="21" t="inlineStr"/>
      <c r="O48" s="21">
        <f> (患者总数 − 存在 state∈{open, pending_confirm} 质控问题的患者数) / 患者总数</f>
        <v/>
      </c>
      <c r="P48" s="15" t="n"/>
    </row>
    <row r="49" ht="31" customHeight="1">
      <c r="A49" s="15" t="n"/>
      <c r="B49" s="15" t="n"/>
      <c r="C49" s="15" t="n"/>
      <c r="D49" s="15" t="n"/>
      <c r="E49" s="15" t="n"/>
      <c r="F49" s="15" t="n"/>
      <c r="G49" s="15" t="n"/>
      <c r="H49" s="20" t="inlineStr">
        <is>
          <t>页面口径</t>
        </is>
      </c>
      <c r="I49" s="21" t="inlineStr">
        <is>
          <t>卡片 4</t>
        </is>
      </c>
      <c r="J49" s="21" t="inlineStr">
        <is>
          <t>cards.siteCount</t>
        </is>
      </c>
      <c r="K49" s="21" t="inlineStr">
        <is>
          <t>整数</t>
        </is>
      </c>
      <c r="L49" s="20" t="inlineStr"/>
      <c r="M49" s="21" t="inlineStr">
        <is>
          <t>P-04 参与研究中心
研究库关联的启用中心数</t>
        </is>
      </c>
      <c r="N49" s="21" t="inlineStr"/>
      <c r="O49" s="21" t="inlineStr">
        <is>
          <t>COUNT(study_site WHERE status=active)</t>
        </is>
      </c>
      <c r="P49" s="15" t="n"/>
    </row>
    <row r="50" ht="31" customHeight="1">
      <c r="A50" s="15" t="n"/>
      <c r="B50" s="15" t="n"/>
      <c r="C50" s="15" t="n"/>
      <c r="D50" s="15" t="n"/>
      <c r="E50" s="15" t="n"/>
      <c r="F50" s="15" t="n"/>
      <c r="G50" s="15" t="n"/>
      <c r="H50" s="20" t="inlineStr">
        <is>
          <t>页面口径</t>
        </is>
      </c>
      <c r="I50" s="21" t="inlineStr">
        <is>
          <t>研究执行概览</t>
        </is>
      </c>
      <c r="J50" s="21" t="inlineStr">
        <is>
          <t>progress.enrolledCount / targetEnrollment / enrollmentRate</t>
        </is>
      </c>
      <c r="K50" s="21" t="inlineStr">
        <is>
          <t>页面整数百分比</t>
        </is>
      </c>
      <c r="L50" s="20" t="inlineStr"/>
      <c r="M50" s="21" t="inlineStr">
        <is>
          <t>P-05 128 / 180 跟踪患者 · 71%
入组进度</t>
        </is>
      </c>
      <c r="N50" s="21" t="inlineStr"/>
      <c r="O50" s="21" t="inlineStr">
        <is>
          <t>分子 = P-01；分母 = study.target_enrollment（后台配置）；比例 = 分子 / 分母</t>
        </is>
      </c>
      <c r="P50" s="15" t="n"/>
    </row>
    <row r="51" ht="31" customHeight="1">
      <c r="A51" s="15" t="n"/>
      <c r="B51" s="15" t="n"/>
      <c r="C51" s="15" t="n"/>
      <c r="D51" s="15" t="n"/>
      <c r="E51" s="15" t="n"/>
      <c r="F51" s="15" t="n"/>
      <c r="G51" s="15" t="n"/>
      <c r="H51" s="20" t="inlineStr">
        <is>
          <t>页面口径</t>
        </is>
      </c>
      <c r="I51" s="21" t="inlineStr">
        <is>
          <t>研究执行概览</t>
        </is>
      </c>
      <c r="J51" s="21" t="inlineStr">
        <is>
          <t>progress.pendingFollowupCount</t>
        </is>
      </c>
      <c r="K51" s="21" t="inlineStr">
        <is>
          <t>整数</t>
        </is>
      </c>
      <c r="L51" s="20" t="inlineStr"/>
      <c r="M51" s="21" t="inlineStr">
        <is>
          <t>P-06 待随访患者
需要尽快安排随访的患者数</t>
        </is>
      </c>
      <c r="N51" s="21" t="inlineStr"/>
      <c r="O51" s="21">
        <f> followStatus ∈ {overdue, soon} 的患者数（即 B-03 days ≤ 14，含已逾期）</f>
        <v/>
      </c>
      <c r="P51" s="15" t="n"/>
    </row>
    <row r="52" ht="31" customHeight="1">
      <c r="A52" s="15" t="n"/>
      <c r="B52" s="15" t="n"/>
      <c r="C52" s="15" t="n"/>
      <c r="D52" s="15" t="n"/>
      <c r="E52" s="15" t="n"/>
      <c r="F52" s="15" t="n"/>
      <c r="G52" s="15" t="n"/>
      <c r="H52" s="20" t="inlineStr">
        <is>
          <t>页面口径</t>
        </is>
      </c>
      <c r="I52" s="21" t="inlineStr">
        <is>
          <t>研究执行概览</t>
        </is>
      </c>
      <c r="J52" s="21" t="inlineStr">
        <is>
          <t>progress.openQcCount</t>
        </is>
      </c>
      <c r="K52" s="21" t="inlineStr">
        <is>
          <t>整数</t>
        </is>
      </c>
      <c r="L52" s="20" t="inlineStr"/>
      <c r="M52" s="21" t="inlineStr">
        <is>
          <t>P-07 待处理质控问题
未关闭的质控问题数</t>
        </is>
      </c>
      <c r="N52" s="21" t="inlineStr"/>
      <c r="O52" s="21" t="inlineStr">
        <is>
          <t>COUNT(qc_issue WHERE state ∈ {open, pending_confirm})，与 Q-02 相同</t>
        </is>
      </c>
      <c r="P52" s="15" t="n"/>
    </row>
    <row r="53" ht="44.5" customHeight="1">
      <c r="A53" s="15" t="n"/>
      <c r="B53" s="15" t="n"/>
      <c r="C53" s="15" t="n"/>
      <c r="D53" s="15" t="n"/>
      <c r="E53" s="15" t="n"/>
      <c r="F53" s="15" t="n"/>
      <c r="G53" s="15" t="n"/>
      <c r="H53" s="20" t="inlineStr">
        <is>
          <t>页面口径</t>
        </is>
      </c>
      <c r="I53" s="21" t="inlineStr">
        <is>
          <t>研究执行概览</t>
        </is>
      </c>
      <c r="J53" s="21" t="inlineStr">
        <is>
          <t>progress.researchReadyVisitCount</t>
        </is>
      </c>
      <c r="K53" s="21" t="inlineStr">
        <is>
          <t>整数</t>
        </is>
      </c>
      <c r="L53" s="20" t="inlineStr"/>
      <c r="M53" s="21" t="inlineStr">
        <is>
          <t>P-08 研究级可用记录
可直接进入统计分析的访视记录数</t>
        </is>
      </c>
      <c r="N53" s="21" t="inlineStr"/>
      <c r="O53" s="21" t="inlineStr">
        <is>
          <t>COUNT(visit) 满足：status = submitted，且该访视没有未关闭的质控问题，且该访视必填字段齐全（必填项以 CRF 字典为准）</t>
        </is>
      </c>
      <c r="P53" s="15" t="n"/>
    </row>
    <row r="54" ht="31" customHeight="1">
      <c r="A54" s="15" t="n"/>
      <c r="B54" s="15" t="n"/>
      <c r="C54" s="15" t="n"/>
      <c r="D54" s="15" t="n"/>
      <c r="E54" s="15" t="n"/>
      <c r="F54" s="15" t="n"/>
      <c r="G54" s="15" t="n"/>
      <c r="H54" s="20" t="inlineStr">
        <is>
          <t>页面口径</t>
        </is>
      </c>
      <c r="I54" s="21" t="inlineStr">
        <is>
          <t>项目基本信息</t>
        </is>
      </c>
      <c r="J54" s="21" t="inlineStr">
        <is>
          <t>profile[]</t>
        </is>
      </c>
      <c r="K54" s="21" t="inlineStr">
        <is>
          <t>文本</t>
        </is>
      </c>
      <c r="L54" s="20" t="inlineStr"/>
      <c r="M54" s="21" t="inlineStr">
        <is>
          <t>P-09 研究类型 / 研究周期 / 主要数据域
项目静态信息</t>
        </is>
      </c>
      <c r="N54" s="21" t="inlineStr"/>
      <c r="O54" s="21" t="inlineStr">
        <is>
          <t>取 study 配置表，按行返回</t>
        </is>
      </c>
      <c r="P54" s="15" t="n"/>
    </row>
    <row r="55" ht="17.5" customHeight="1">
      <c r="A55" s="8" t="inlineStr">
        <is>
          <t>数据看板</t>
        </is>
      </c>
      <c r="B55" s="8" t="inlineStr">
        <is>
          <t>dashboard.html</t>
        </is>
      </c>
      <c r="C55" s="8" t="inlineStr">
        <is>
          <t>患者规模 / 随访管理 / 需关注患者 / DAS28 / 数据质量 / 研究数据 / 风险提醒 / 近期动态</t>
        </is>
      </c>
      <c r="D55" s="9" t="inlineStr">
        <is>
          <t>D01</t>
        </is>
      </c>
      <c r="E55" s="10" t="inlineStr">
        <is>
          <t>数据看板（一个接口返回页面全部统计）</t>
        </is>
      </c>
      <c r="F55" s="11" t="inlineStr">
        <is>
          <t>GET</t>
        </is>
      </c>
      <c r="G55" s="12" t="inlineStr">
        <is>
          <t>/api/v1/stats/dashboard</t>
        </is>
      </c>
      <c r="H55" s="13" t="inlineStr">
        <is>
          <t>入参</t>
        </is>
      </c>
      <c r="I55" s="14" t="inlineStr">
        <is>
          <t>query</t>
        </is>
      </c>
      <c r="J55" s="14" t="inlineStr">
        <is>
          <t>studyId</t>
        </is>
      </c>
      <c r="K55" s="14" t="inlineStr">
        <is>
          <t>string</t>
        </is>
      </c>
      <c r="L55" s="13" t="inlineStr">
        <is>
          <t>是</t>
        </is>
      </c>
      <c r="M55" s="14" t="inlineStr">
        <is>
          <t>研究库编码；一期固定 RA</t>
        </is>
      </c>
      <c r="N55" s="14" t="inlineStr">
        <is>
          <t>RA</t>
        </is>
      </c>
      <c r="O55" s="14" t="inlineStr"/>
      <c r="P55" s="8" t="inlineStr">
        <is>
          <t>「导出统计报表」按钮：一期由前端用本接口数据生成 CSV，不单独做接口。
「智能研究队列」区块属于 AI 分析，本文档不含，另行讨论。
所有比例统一返回 0–1 小数，前端负责格式化为百分比。</t>
        </is>
      </c>
    </row>
    <row r="56" ht="17.5" customHeight="1">
      <c r="A56" s="15" t="n"/>
      <c r="B56" s="15" t="n"/>
      <c r="C56" s="15" t="n"/>
      <c r="D56" s="15" t="n"/>
      <c r="E56" s="15" t="n"/>
      <c r="F56" s="15" t="n"/>
      <c r="G56" s="15" t="n"/>
      <c r="H56" s="18" t="inlineStr">
        <is>
          <t>出参</t>
        </is>
      </c>
      <c r="I56" s="19" t="inlineStr">
        <is>
          <t>data</t>
        </is>
      </c>
      <c r="J56" s="19" t="inlineStr">
        <is>
          <t>statAt</t>
        </is>
      </c>
      <c r="K56" s="19" t="inlineStr">
        <is>
          <t>datetime</t>
        </is>
      </c>
      <c r="L56" s="18" t="inlineStr"/>
      <c r="M56" s="19" t="inlineStr">
        <is>
          <t>统计时间（页面「统计截至」）</t>
        </is>
      </c>
      <c r="N56" s="19" t="inlineStr">
        <is>
          <t>2026-09-30T10:00:00+08:00</t>
        </is>
      </c>
      <c r="O56" s="19" t="inlineStr"/>
      <c r="P56" s="15" t="n"/>
    </row>
    <row r="57" ht="17.5" customHeight="1">
      <c r="A57" s="15" t="n"/>
      <c r="B57" s="15" t="n"/>
      <c r="C57" s="15" t="n"/>
      <c r="D57" s="15" t="n"/>
      <c r="E57" s="15" t="n"/>
      <c r="F57" s="15" t="n"/>
      <c r="G57" s="15" t="n"/>
      <c r="H57" s="18" t="inlineStr">
        <is>
          <t>出参</t>
        </is>
      </c>
      <c r="I57" s="19" t="inlineStr">
        <is>
          <t>data</t>
        </is>
      </c>
      <c r="J57" s="19" t="inlineStr">
        <is>
          <t>scale.total</t>
        </is>
      </c>
      <c r="K57" s="19" t="inlineStr">
        <is>
          <t>integer</t>
        </is>
      </c>
      <c r="L57" s="18" t="inlineStr"/>
      <c r="M57" s="19" t="inlineStr">
        <is>
          <t>总患者数</t>
        </is>
      </c>
      <c r="N57" s="19" t="inlineStr">
        <is>
          <t>128</t>
        </is>
      </c>
      <c r="O57" s="19" t="inlineStr"/>
      <c r="P57" s="15" t="n"/>
    </row>
    <row r="58" ht="17.5" customHeight="1">
      <c r="A58" s="15" t="n"/>
      <c r="B58" s="15" t="n"/>
      <c r="C58" s="15" t="n"/>
      <c r="D58" s="15" t="n"/>
      <c r="E58" s="15" t="n"/>
      <c r="F58" s="15" t="n"/>
      <c r="G58" s="15" t="n"/>
      <c r="H58" s="18" t="inlineStr">
        <is>
          <t>出参</t>
        </is>
      </c>
      <c r="I58" s="19" t="inlineStr">
        <is>
          <t>data</t>
        </is>
      </c>
      <c r="J58" s="19" t="inlineStr">
        <is>
          <t>scale.siteCount</t>
        </is>
      </c>
      <c r="K58" s="19" t="inlineStr">
        <is>
          <t>integer</t>
        </is>
      </c>
      <c r="L58" s="18" t="inlineStr"/>
      <c r="M58" s="19" t="inlineStr">
        <is>
          <t>研究中心数（卡片注释「覆盖 N 家研究中心」）</t>
        </is>
      </c>
      <c r="N58" s="19" t="inlineStr">
        <is>
          <t>1</t>
        </is>
      </c>
      <c r="O58" s="19" t="inlineStr"/>
      <c r="P58" s="15" t="n"/>
    </row>
    <row r="59" ht="17.5" customHeight="1">
      <c r="A59" s="15" t="n"/>
      <c r="B59" s="15" t="n"/>
      <c r="C59" s="15" t="n"/>
      <c r="D59" s="15" t="n"/>
      <c r="E59" s="15" t="n"/>
      <c r="F59" s="15" t="n"/>
      <c r="G59" s="15" t="n"/>
      <c r="H59" s="18" t="inlineStr">
        <is>
          <t>出参</t>
        </is>
      </c>
      <c r="I59" s="19" t="inlineStr">
        <is>
          <t>data</t>
        </is>
      </c>
      <c r="J59" s="19" t="inlineStr">
        <is>
          <t>scale.active</t>
        </is>
      </c>
      <c r="K59" s="19" t="inlineStr">
        <is>
          <t>integer</t>
        </is>
      </c>
      <c r="L59" s="18" t="inlineStr"/>
      <c r="M59" s="19" t="inlineStr">
        <is>
          <t>活跃患者数</t>
        </is>
      </c>
      <c r="N59" s="19" t="inlineStr">
        <is>
          <t>86</t>
        </is>
      </c>
      <c r="O59" s="19" t="inlineStr"/>
      <c r="P59" s="15" t="n"/>
    </row>
    <row r="60" ht="17.5" customHeight="1">
      <c r="A60" s="15" t="n"/>
      <c r="B60" s="15" t="n"/>
      <c r="C60" s="15" t="n"/>
      <c r="D60" s="15" t="n"/>
      <c r="E60" s="15" t="n"/>
      <c r="F60" s="15" t="n"/>
      <c r="G60" s="15" t="n"/>
      <c r="H60" s="18" t="inlineStr">
        <is>
          <t>出参</t>
        </is>
      </c>
      <c r="I60" s="19" t="inlineStr">
        <is>
          <t>data</t>
        </is>
      </c>
      <c r="J60" s="19" t="inlineStr">
        <is>
          <t>scale.activeRate</t>
        </is>
      </c>
      <c r="K60" s="19" t="inlineStr">
        <is>
          <t>number</t>
        </is>
      </c>
      <c r="L60" s="18" t="inlineStr"/>
      <c r="M60" s="19" t="inlineStr">
        <is>
          <t>活跃占比，0–1</t>
        </is>
      </c>
      <c r="N60" s="19" t="inlineStr">
        <is>
          <t>0.6719</t>
        </is>
      </c>
      <c r="O60" s="19" t="inlineStr"/>
      <c r="P60" s="15" t="n"/>
    </row>
    <row r="61" ht="17.5" customHeight="1">
      <c r="A61" s="15" t="n"/>
      <c r="B61" s="15" t="n"/>
      <c r="C61" s="15" t="n"/>
      <c r="D61" s="15" t="n"/>
      <c r="E61" s="15" t="n"/>
      <c r="F61" s="15" t="n"/>
      <c r="G61" s="15" t="n"/>
      <c r="H61" s="18" t="inlineStr">
        <is>
          <t>出参</t>
        </is>
      </c>
      <c r="I61" s="19" t="inlineStr">
        <is>
          <t>data</t>
        </is>
      </c>
      <c r="J61" s="19" t="inlineStr">
        <is>
          <t>scale.newThisMonth</t>
        </is>
      </c>
      <c r="K61" s="19" t="inlineStr">
        <is>
          <t>integer</t>
        </is>
      </c>
      <c r="L61" s="18" t="inlineStr"/>
      <c r="M61" s="19" t="inlineStr">
        <is>
          <t>本月新增患者</t>
        </is>
      </c>
      <c r="N61" s="19" t="inlineStr">
        <is>
          <t>3</t>
        </is>
      </c>
      <c r="O61" s="19" t="inlineStr"/>
      <c r="P61" s="15" t="n"/>
    </row>
    <row r="62" ht="17.5" customHeight="1">
      <c r="A62" s="15" t="n"/>
      <c r="B62" s="15" t="n"/>
      <c r="C62" s="15" t="n"/>
      <c r="D62" s="15" t="n"/>
      <c r="E62" s="15" t="n"/>
      <c r="F62" s="15" t="n"/>
      <c r="G62" s="15" t="n"/>
      <c r="H62" s="18" t="inlineStr">
        <is>
          <t>出参</t>
        </is>
      </c>
      <c r="I62" s="19" t="inlineStr">
        <is>
          <t>data</t>
        </is>
      </c>
      <c r="J62" s="19" t="inlineStr">
        <is>
          <t>scale.withdrawn</t>
        </is>
      </c>
      <c r="K62" s="19" t="inlineStr">
        <is>
          <t>integer</t>
        </is>
      </c>
      <c r="L62" s="18" t="inlineStr"/>
      <c r="M62" s="19" t="inlineStr">
        <is>
          <t>已脱落 / 失访</t>
        </is>
      </c>
      <c r="N62" s="19" t="inlineStr">
        <is>
          <t>17</t>
        </is>
      </c>
      <c r="O62" s="19" t="inlineStr"/>
      <c r="P62" s="15" t="n"/>
    </row>
    <row r="63" ht="17.5" customHeight="1">
      <c r="A63" s="15" t="n"/>
      <c r="B63" s="15" t="n"/>
      <c r="C63" s="15" t="n"/>
      <c r="D63" s="15" t="n"/>
      <c r="E63" s="15" t="n"/>
      <c r="F63" s="15" t="n"/>
      <c r="G63" s="15" t="n"/>
      <c r="H63" s="18" t="inlineStr">
        <is>
          <t>出参</t>
        </is>
      </c>
      <c r="I63" s="19" t="inlineStr">
        <is>
          <t>data</t>
        </is>
      </c>
      <c r="J63" s="19" t="inlineStr">
        <is>
          <t>followup.overdue</t>
        </is>
      </c>
      <c r="K63" s="19" t="inlineStr">
        <is>
          <t>integer</t>
        </is>
      </c>
      <c r="L63" s="18" t="inlineStr"/>
      <c r="M63" s="19" t="inlineStr">
        <is>
          <t>已逾期</t>
        </is>
      </c>
      <c r="N63" s="19" t="inlineStr">
        <is>
          <t>31</t>
        </is>
      </c>
      <c r="O63" s="19" t="inlineStr"/>
      <c r="P63" s="15" t="n"/>
    </row>
    <row r="64" ht="17.5" customHeight="1">
      <c r="A64" s="15" t="n"/>
      <c r="B64" s="15" t="n"/>
      <c r="C64" s="15" t="n"/>
      <c r="D64" s="15" t="n"/>
      <c r="E64" s="15" t="n"/>
      <c r="F64" s="15" t="n"/>
      <c r="G64" s="15" t="n"/>
      <c r="H64" s="18" t="inlineStr">
        <is>
          <t>出参</t>
        </is>
      </c>
      <c r="I64" s="19" t="inlineStr">
        <is>
          <t>data</t>
        </is>
      </c>
      <c r="J64" s="19" t="inlineStr">
        <is>
          <t>followup.due7</t>
        </is>
      </c>
      <c r="K64" s="19" t="inlineStr">
        <is>
          <t>integer</t>
        </is>
      </c>
      <c r="L64" s="18" t="inlineStr"/>
      <c r="M64" s="19" t="inlineStr">
        <is>
          <t>7 日内待随访</t>
        </is>
      </c>
      <c r="N64" s="19" t="inlineStr">
        <is>
          <t>6</t>
        </is>
      </c>
      <c r="O64" s="19" t="inlineStr"/>
      <c r="P64" s="15" t="n"/>
    </row>
    <row r="65" ht="17.5" customHeight="1">
      <c r="A65" s="15" t="n"/>
      <c r="B65" s="15" t="n"/>
      <c r="C65" s="15" t="n"/>
      <c r="D65" s="15" t="n"/>
      <c r="E65" s="15" t="n"/>
      <c r="F65" s="15" t="n"/>
      <c r="G65" s="15" t="n"/>
      <c r="H65" s="18" t="inlineStr">
        <is>
          <t>出参</t>
        </is>
      </c>
      <c r="I65" s="19" t="inlineStr">
        <is>
          <t>data</t>
        </is>
      </c>
      <c r="J65" s="19" t="inlineStr">
        <is>
          <t>followup.due30</t>
        </is>
      </c>
      <c r="K65" s="19" t="inlineStr">
        <is>
          <t>integer</t>
        </is>
      </c>
      <c r="L65" s="18" t="inlineStr"/>
      <c r="M65" s="19" t="inlineStr">
        <is>
          <t>30 日内待随访（含 7 日内）</t>
        </is>
      </c>
      <c r="N65" s="19" t="inlineStr">
        <is>
          <t>19</t>
        </is>
      </c>
      <c r="O65" s="19" t="inlineStr"/>
      <c r="P65" s="15" t="n"/>
    </row>
    <row r="66" ht="17.5" customHeight="1">
      <c r="A66" s="15" t="n"/>
      <c r="B66" s="15" t="n"/>
      <c r="C66" s="15" t="n"/>
      <c r="D66" s="15" t="n"/>
      <c r="E66" s="15" t="n"/>
      <c r="F66" s="15" t="n"/>
      <c r="G66" s="15" t="n"/>
      <c r="H66" s="18" t="inlineStr">
        <is>
          <t>出参</t>
        </is>
      </c>
      <c r="I66" s="19" t="inlineStr">
        <is>
          <t>data</t>
        </is>
      </c>
      <c r="J66" s="19" t="inlineStr">
        <is>
          <t>followup.planCount</t>
        </is>
      </c>
      <c r="K66" s="19" t="inlineStr">
        <is>
          <t>integer</t>
        </is>
      </c>
      <c r="L66" s="18" t="inlineStr"/>
      <c r="M66" s="19" t="inlineStr">
        <is>
          <t>随访计划数（卡片注释「N 项随访计划」）</t>
        </is>
      </c>
      <c r="N66" s="19" t="inlineStr">
        <is>
          <t>111</t>
        </is>
      </c>
      <c r="O66" s="19" t="inlineStr"/>
      <c r="P66" s="15" t="n"/>
    </row>
    <row r="67" ht="17.5" customHeight="1">
      <c r="A67" s="15" t="n"/>
      <c r="B67" s="15" t="n"/>
      <c r="C67" s="15" t="n"/>
      <c r="D67" s="15" t="n"/>
      <c r="E67" s="15" t="n"/>
      <c r="F67" s="15" t="n"/>
      <c r="G67" s="15" t="n"/>
      <c r="H67" s="18" t="inlineStr">
        <is>
          <t>出参</t>
        </is>
      </c>
      <c r="I67" s="19" t="inlineStr">
        <is>
          <t>data</t>
        </is>
      </c>
      <c r="J67" s="19" t="inlineStr">
        <is>
          <t>followup.onTimeRate</t>
        </is>
      </c>
      <c r="K67" s="19" t="inlineStr">
        <is>
          <t>number</t>
        </is>
      </c>
      <c r="L67" s="18" t="inlineStr"/>
      <c r="M67" s="19" t="inlineStr">
        <is>
          <t>按期随访率，0–1</t>
        </is>
      </c>
      <c r="N67" s="19" t="inlineStr">
        <is>
          <t>0.7207</t>
        </is>
      </c>
      <c r="O67" s="19" t="inlineStr"/>
      <c r="P67" s="15" t="n"/>
    </row>
    <row r="68" ht="17.5" customHeight="1">
      <c r="A68" s="15" t="n"/>
      <c r="B68" s="15" t="n"/>
      <c r="C68" s="15" t="n"/>
      <c r="D68" s="15" t="n"/>
      <c r="E68" s="15" t="n"/>
      <c r="F68" s="15" t="n"/>
      <c r="G68" s="15" t="n"/>
      <c r="H68" s="18" t="inlineStr">
        <is>
          <t>出参</t>
        </is>
      </c>
      <c r="I68" s="19" t="inlineStr">
        <is>
          <t>data</t>
        </is>
      </c>
      <c r="J68" s="19" t="inlineStr">
        <is>
          <t>attention.notAtTarget</t>
        </is>
      </c>
      <c r="K68" s="19" t="inlineStr">
        <is>
          <t>integer</t>
        </is>
      </c>
      <c r="L68" s="18" t="inlineStr"/>
      <c r="M68" s="19" t="inlineStr">
        <is>
          <t>未达标（中高疾病活动）人数</t>
        </is>
      </c>
      <c r="N68" s="19" t="inlineStr">
        <is>
          <t>52</t>
        </is>
      </c>
      <c r="O68" s="19" t="inlineStr"/>
      <c r="P68" s="15" t="n"/>
    </row>
    <row r="69" ht="17.5" customHeight="1">
      <c r="A69" s="15" t="n"/>
      <c r="B69" s="15" t="n"/>
      <c r="C69" s="15" t="n"/>
      <c r="D69" s="15" t="n"/>
      <c r="E69" s="15" t="n"/>
      <c r="F69" s="15" t="n"/>
      <c r="G69" s="15" t="n"/>
      <c r="H69" s="18" t="inlineStr">
        <is>
          <t>出参</t>
        </is>
      </c>
      <c r="I69" s="19" t="inlineStr">
        <is>
          <t>data</t>
        </is>
      </c>
      <c r="J69" s="19" t="inlineStr">
        <is>
          <t>attention.highCrp</t>
        </is>
      </c>
      <c r="K69" s="19" t="inlineStr">
        <is>
          <t>integer</t>
        </is>
      </c>
      <c r="L69" s="18" t="inlineStr"/>
      <c r="M69" s="19" t="inlineStr">
        <is>
          <t>炎症指标升高（CRP &gt; 10）人数</t>
        </is>
      </c>
      <c r="N69" s="19" t="inlineStr">
        <is>
          <t>40</t>
        </is>
      </c>
      <c r="O69" s="19" t="inlineStr"/>
      <c r="P69" s="15" t="n"/>
    </row>
    <row r="70" ht="17.5" customHeight="1">
      <c r="A70" s="15" t="n"/>
      <c r="B70" s="15" t="n"/>
      <c r="C70" s="15" t="n"/>
      <c r="D70" s="15" t="n"/>
      <c r="E70" s="15" t="n"/>
      <c r="F70" s="15" t="n"/>
      <c r="G70" s="15" t="n"/>
      <c r="H70" s="18" t="inlineStr">
        <is>
          <t>出参</t>
        </is>
      </c>
      <c r="I70" s="19" t="inlineStr">
        <is>
          <t>data</t>
        </is>
      </c>
      <c r="J70" s="19" t="inlineStr">
        <is>
          <t>attention.highActivity</t>
        </is>
      </c>
      <c r="K70" s="19" t="inlineStr">
        <is>
          <t>integer</t>
        </is>
      </c>
      <c r="L70" s="18" t="inlineStr"/>
      <c r="M70" s="19" t="inlineStr">
        <is>
          <t>高疾病活动（DAS28 &gt; 5.1）人数</t>
        </is>
      </c>
      <c r="N70" s="19" t="inlineStr">
        <is>
          <t>18</t>
        </is>
      </c>
      <c r="O70" s="19" t="inlineStr"/>
      <c r="P70" s="15" t="n"/>
    </row>
    <row r="71" ht="17.5" customHeight="1">
      <c r="A71" s="15" t="n"/>
      <c r="B71" s="15" t="n"/>
      <c r="C71" s="15" t="n"/>
      <c r="D71" s="15" t="n"/>
      <c r="E71" s="15" t="n"/>
      <c r="F71" s="15" t="n"/>
      <c r="G71" s="15" t="n"/>
      <c r="H71" s="18" t="inlineStr">
        <is>
          <t>出参</t>
        </is>
      </c>
      <c r="I71" s="19" t="inlineStr">
        <is>
          <t>data</t>
        </is>
      </c>
      <c r="J71" s="19" t="inlineStr">
        <is>
          <t>attention.fmComorbid</t>
        </is>
      </c>
      <c r="K71" s="19" t="inlineStr">
        <is>
          <t>integer</t>
        </is>
      </c>
      <c r="L71" s="18" t="inlineStr"/>
      <c r="M71" s="19" t="inlineStr">
        <is>
          <t>合并 FM 人数</t>
        </is>
      </c>
      <c r="N71" s="19" t="inlineStr">
        <is>
          <t>46</t>
        </is>
      </c>
      <c r="O71" s="19" t="inlineStr"/>
      <c r="P71" s="15" t="n"/>
    </row>
    <row r="72" ht="31" customHeight="1">
      <c r="A72" s="15" t="n"/>
      <c r="B72" s="15" t="n"/>
      <c r="C72" s="15" t="n"/>
      <c r="D72" s="15" t="n"/>
      <c r="E72" s="15" t="n"/>
      <c r="F72" s="15" t="n"/>
      <c r="G72" s="15" t="n"/>
      <c r="H72" s="18" t="inlineStr">
        <is>
          <t>出参</t>
        </is>
      </c>
      <c r="I72" s="19" t="inlineStr">
        <is>
          <t>data</t>
        </is>
      </c>
      <c r="J72" s="19" t="inlineStr">
        <is>
          <t>das28.method</t>
        </is>
      </c>
      <c r="K72" s="19" t="inlineStr">
        <is>
          <t>enum</t>
        </is>
      </c>
      <c r="L72" s="18" t="inlineStr"/>
      <c r="M72" s="19" t="inlineStr">
        <is>
          <t>本次统计使用的 DAS28 版本：crp / esr（待医学确认，见待确认表）</t>
        </is>
      </c>
      <c r="N72" s="19" t="inlineStr">
        <is>
          <t>crp</t>
        </is>
      </c>
      <c r="O72" s="19" t="inlineStr"/>
      <c r="P72" s="15" t="n"/>
    </row>
    <row r="73" ht="17.5" customHeight="1">
      <c r="A73" s="15" t="n"/>
      <c r="B73" s="15" t="n"/>
      <c r="C73" s="15" t="n"/>
      <c r="D73" s="15" t="n"/>
      <c r="E73" s="15" t="n"/>
      <c r="F73" s="15" t="n"/>
      <c r="G73" s="15" t="n"/>
      <c r="H73" s="18" t="inlineStr">
        <is>
          <t>出参</t>
        </is>
      </c>
      <c r="I73" s="19" t="inlineStr">
        <is>
          <t>data</t>
        </is>
      </c>
      <c r="J73" s="19" t="inlineStr">
        <is>
          <t>das28.evaluable</t>
        </is>
      </c>
      <c r="K73" s="19" t="inlineStr">
        <is>
          <t>integer</t>
        </is>
      </c>
      <c r="L73" s="18" t="inlineStr"/>
      <c r="M73" s="19" t="inlineStr">
        <is>
          <t>有 DAS28 结果的患者数（分母）</t>
        </is>
      </c>
      <c r="N73" s="19" t="inlineStr">
        <is>
          <t>120</t>
        </is>
      </c>
      <c r="O73" s="19" t="inlineStr"/>
      <c r="P73" s="15" t="n"/>
    </row>
    <row r="74" ht="17.5" customHeight="1">
      <c r="A74" s="15" t="n"/>
      <c r="B74" s="15" t="n"/>
      <c r="C74" s="15" t="n"/>
      <c r="D74" s="15" t="n"/>
      <c r="E74" s="15" t="n"/>
      <c r="F74" s="15" t="n"/>
      <c r="G74" s="15" t="n"/>
      <c r="H74" s="18" t="inlineStr">
        <is>
          <t>出参</t>
        </is>
      </c>
      <c r="I74" s="19" t="inlineStr">
        <is>
          <t>data</t>
        </is>
      </c>
      <c r="J74" s="19" t="inlineStr">
        <is>
          <t>das28.targetRate</t>
        </is>
      </c>
      <c r="K74" s="19" t="inlineStr">
        <is>
          <t>number</t>
        </is>
      </c>
      <c r="L74" s="18" t="inlineStr"/>
      <c r="M74" s="19" t="inlineStr">
        <is>
          <t>达标率，0–1</t>
        </is>
      </c>
      <c r="N74" s="19" t="inlineStr">
        <is>
          <t>0.5667</t>
        </is>
      </c>
      <c r="O74" s="19" t="inlineStr"/>
      <c r="P74" s="15" t="n"/>
    </row>
    <row r="75" ht="17.5" customHeight="1">
      <c r="A75" s="15" t="n"/>
      <c r="B75" s="15" t="n"/>
      <c r="C75" s="15" t="n"/>
      <c r="D75" s="15" t="n"/>
      <c r="E75" s="15" t="n"/>
      <c r="F75" s="15" t="n"/>
      <c r="G75" s="15" t="n"/>
      <c r="H75" s="18" t="inlineStr">
        <is>
          <t>出参</t>
        </is>
      </c>
      <c r="I75" s="19" t="inlineStr">
        <is>
          <t>data</t>
        </is>
      </c>
      <c r="J75" s="19" t="inlineStr">
        <is>
          <t>das28.dist[].level</t>
        </is>
      </c>
      <c r="K75" s="19" t="inlineStr">
        <is>
          <t>enum</t>
        </is>
      </c>
      <c r="L75" s="18" t="inlineStr"/>
      <c r="M75" s="19" t="inlineStr">
        <is>
          <t>活动度分级，见枚举 das28Level</t>
        </is>
      </c>
      <c r="N75" s="19" t="inlineStr">
        <is>
          <t>remission</t>
        </is>
      </c>
      <c r="O75" s="19" t="inlineStr"/>
      <c r="P75" s="15" t="n"/>
    </row>
    <row r="76" ht="17.5" customHeight="1">
      <c r="A76" s="15" t="n"/>
      <c r="B76" s="15" t="n"/>
      <c r="C76" s="15" t="n"/>
      <c r="D76" s="15" t="n"/>
      <c r="E76" s="15" t="n"/>
      <c r="F76" s="15" t="n"/>
      <c r="G76" s="15" t="n"/>
      <c r="H76" s="18" t="inlineStr">
        <is>
          <t>出参</t>
        </is>
      </c>
      <c r="I76" s="19" t="inlineStr">
        <is>
          <t>data</t>
        </is>
      </c>
      <c r="J76" s="19" t="inlineStr">
        <is>
          <t>das28.dist[].label</t>
        </is>
      </c>
      <c r="K76" s="19" t="inlineStr">
        <is>
          <t>string</t>
        </is>
      </c>
      <c r="L76" s="18" t="inlineStr"/>
      <c r="M76" s="19" t="inlineStr">
        <is>
          <t>显示文字</t>
        </is>
      </c>
      <c r="N76" s="19" t="inlineStr">
        <is>
          <t>缓解 &lt; 2.6</t>
        </is>
      </c>
      <c r="O76" s="19" t="inlineStr"/>
      <c r="P76" s="15" t="n"/>
    </row>
    <row r="77" ht="17.5" customHeight="1">
      <c r="A77" s="15" t="n"/>
      <c r="B77" s="15" t="n"/>
      <c r="C77" s="15" t="n"/>
      <c r="D77" s="15" t="n"/>
      <c r="E77" s="15" t="n"/>
      <c r="F77" s="15" t="n"/>
      <c r="G77" s="15" t="n"/>
      <c r="H77" s="18" t="inlineStr">
        <is>
          <t>出参</t>
        </is>
      </c>
      <c r="I77" s="19" t="inlineStr">
        <is>
          <t>data</t>
        </is>
      </c>
      <c r="J77" s="19" t="inlineStr">
        <is>
          <t>das28.dist[].count</t>
        </is>
      </c>
      <c r="K77" s="19" t="inlineStr">
        <is>
          <t>integer</t>
        </is>
      </c>
      <c r="L77" s="18" t="inlineStr"/>
      <c r="M77" s="19" t="inlineStr">
        <is>
          <t>人数</t>
        </is>
      </c>
      <c r="N77" s="19" t="inlineStr">
        <is>
          <t>44</t>
        </is>
      </c>
      <c r="O77" s="19" t="inlineStr"/>
      <c r="P77" s="15" t="n"/>
    </row>
    <row r="78" ht="17.5" customHeight="1">
      <c r="A78" s="15" t="n"/>
      <c r="B78" s="15" t="n"/>
      <c r="C78" s="15" t="n"/>
      <c r="D78" s="15" t="n"/>
      <c r="E78" s="15" t="n"/>
      <c r="F78" s="15" t="n"/>
      <c r="G78" s="15" t="n"/>
      <c r="H78" s="18" t="inlineStr">
        <is>
          <t>出参</t>
        </is>
      </c>
      <c r="I78" s="19" t="inlineStr">
        <is>
          <t>data</t>
        </is>
      </c>
      <c r="J78" s="19" t="inlineStr">
        <is>
          <t>das28.dist[].rate</t>
        </is>
      </c>
      <c r="K78" s="19" t="inlineStr">
        <is>
          <t>number</t>
        </is>
      </c>
      <c r="L78" s="18" t="inlineStr"/>
      <c r="M78" s="19" t="inlineStr">
        <is>
          <t>占 evaluable 比例，0–1</t>
        </is>
      </c>
      <c r="N78" s="19" t="inlineStr">
        <is>
          <t>0.3667</t>
        </is>
      </c>
      <c r="O78" s="19" t="inlineStr"/>
      <c r="P78" s="15" t="n"/>
    </row>
    <row r="79" ht="17.5" customHeight="1">
      <c r="A79" s="15" t="n"/>
      <c r="B79" s="15" t="n"/>
      <c r="C79" s="15" t="n"/>
      <c r="D79" s="15" t="n"/>
      <c r="E79" s="15" t="n"/>
      <c r="F79" s="15" t="n"/>
      <c r="G79" s="15" t="n"/>
      <c r="H79" s="18" t="inlineStr">
        <is>
          <t>出参</t>
        </is>
      </c>
      <c r="I79" s="19" t="inlineStr">
        <is>
          <t>data</t>
        </is>
      </c>
      <c r="J79" s="19" t="inlineStr">
        <is>
          <t>quality.completeRate</t>
        </is>
      </c>
      <c r="K79" s="19" t="inlineStr">
        <is>
          <t>number</t>
        </is>
      </c>
      <c r="L79" s="18" t="inlineStr"/>
      <c r="M79" s="19" t="inlineStr">
        <is>
          <t>患者资料完整率，0–1</t>
        </is>
      </c>
      <c r="N79" s="19" t="inlineStr">
        <is>
          <t>0.5625</t>
        </is>
      </c>
      <c r="O79" s="19" t="inlineStr"/>
      <c r="P79" s="15" t="n"/>
    </row>
    <row r="80" ht="17.5" customHeight="1">
      <c r="A80" s="15" t="n"/>
      <c r="B80" s="15" t="n"/>
      <c r="C80" s="15" t="n"/>
      <c r="D80" s="15" t="n"/>
      <c r="E80" s="15" t="n"/>
      <c r="F80" s="15" t="n"/>
      <c r="G80" s="15" t="n"/>
      <c r="H80" s="18" t="inlineStr">
        <is>
          <t>出参</t>
        </is>
      </c>
      <c r="I80" s="19" t="inlineStr">
        <is>
          <t>data</t>
        </is>
      </c>
      <c r="J80" s="19" t="inlineStr">
        <is>
          <t>quality.missing[].ruleCode</t>
        </is>
      </c>
      <c r="K80" s="19" t="inlineStr">
        <is>
          <t>string</t>
        </is>
      </c>
      <c r="L80" s="18" t="inlineStr"/>
      <c r="M80" s="19" t="inlineStr">
        <is>
          <t>缺失规则编码，见质控规则表</t>
        </is>
      </c>
      <c r="N80" s="19" t="inlineStr">
        <is>
          <t>QC-M01</t>
        </is>
      </c>
      <c r="O80" s="19" t="inlineStr"/>
      <c r="P80" s="15" t="n"/>
    </row>
    <row r="81" ht="17.5" customHeight="1">
      <c r="A81" s="15" t="n"/>
      <c r="B81" s="15" t="n"/>
      <c r="C81" s="15" t="n"/>
      <c r="D81" s="15" t="n"/>
      <c r="E81" s="15" t="n"/>
      <c r="F81" s="15" t="n"/>
      <c r="G81" s="15" t="n"/>
      <c r="H81" s="18" t="inlineStr">
        <is>
          <t>出参</t>
        </is>
      </c>
      <c r="I81" s="19" t="inlineStr">
        <is>
          <t>data</t>
        </is>
      </c>
      <c r="J81" s="19" t="inlineStr">
        <is>
          <t>quality.missing[].label</t>
        </is>
      </c>
      <c r="K81" s="19" t="inlineStr">
        <is>
          <t>string</t>
        </is>
      </c>
      <c r="L81" s="18" t="inlineStr"/>
      <c r="M81" s="19" t="inlineStr">
        <is>
          <t>显示文字</t>
        </is>
      </c>
      <c r="N81" s="19" t="inlineStr">
        <is>
          <t>缺 DAS28 评分</t>
        </is>
      </c>
      <c r="O81" s="19" t="inlineStr"/>
      <c r="P81" s="15" t="n"/>
    </row>
    <row r="82" ht="17.5" customHeight="1">
      <c r="A82" s="15" t="n"/>
      <c r="B82" s="15" t="n"/>
      <c r="C82" s="15" t="n"/>
      <c r="D82" s="15" t="n"/>
      <c r="E82" s="15" t="n"/>
      <c r="F82" s="15" t="n"/>
      <c r="G82" s="15" t="n"/>
      <c r="H82" s="18" t="inlineStr">
        <is>
          <t>出参</t>
        </is>
      </c>
      <c r="I82" s="19" t="inlineStr">
        <is>
          <t>data</t>
        </is>
      </c>
      <c r="J82" s="19" t="inlineStr">
        <is>
          <t>quality.missing[].patientCount</t>
        </is>
      </c>
      <c r="K82" s="19" t="inlineStr">
        <is>
          <t>integer</t>
        </is>
      </c>
      <c r="L82" s="18" t="inlineStr"/>
      <c r="M82" s="19" t="inlineStr">
        <is>
          <t>人数</t>
        </is>
      </c>
      <c r="N82" s="19" t="inlineStr">
        <is>
          <t>9</t>
        </is>
      </c>
      <c r="O82" s="19" t="inlineStr"/>
      <c r="P82" s="15" t="n"/>
    </row>
    <row r="83" ht="17.5" customHeight="1">
      <c r="A83" s="15" t="n"/>
      <c r="B83" s="15" t="n"/>
      <c r="C83" s="15" t="n"/>
      <c r="D83" s="15" t="n"/>
      <c r="E83" s="15" t="n"/>
      <c r="F83" s="15" t="n"/>
      <c r="G83" s="15" t="n"/>
      <c r="H83" s="18" t="inlineStr">
        <is>
          <t>出参</t>
        </is>
      </c>
      <c r="I83" s="19" t="inlineStr">
        <is>
          <t>data</t>
        </is>
      </c>
      <c r="J83" s="19" t="inlineStr">
        <is>
          <t>research.validSample</t>
        </is>
      </c>
      <c r="K83" s="19" t="inlineStr">
        <is>
          <t>integer</t>
        </is>
      </c>
      <c r="L83" s="18" t="inlineStr"/>
      <c r="M83" s="19" t="inlineStr">
        <is>
          <t>有效研究样本数</t>
        </is>
      </c>
      <c r="N83" s="19" t="inlineStr">
        <is>
          <t>60</t>
        </is>
      </c>
      <c r="O83" s="19" t="inlineStr"/>
      <c r="P83" s="15" t="n"/>
    </row>
    <row r="84" ht="17.5" customHeight="1">
      <c r="A84" s="15" t="n"/>
      <c r="B84" s="15" t="n"/>
      <c r="C84" s="15" t="n"/>
      <c r="D84" s="15" t="n"/>
      <c r="E84" s="15" t="n"/>
      <c r="F84" s="15" t="n"/>
      <c r="G84" s="15" t="n"/>
      <c r="H84" s="18" t="inlineStr">
        <is>
          <t>出参</t>
        </is>
      </c>
      <c r="I84" s="19" t="inlineStr">
        <is>
          <t>data</t>
        </is>
      </c>
      <c r="J84" s="19" t="inlineStr">
        <is>
          <t>research.totalVisits</t>
        </is>
      </c>
      <c r="K84" s="19" t="inlineStr">
        <is>
          <t>integer</t>
        </is>
      </c>
      <c r="L84" s="18" t="inlineStr"/>
      <c r="M84" s="19" t="inlineStr">
        <is>
          <t>累计完成访视</t>
        </is>
      </c>
      <c r="N84" s="19" t="inlineStr">
        <is>
          <t>641</t>
        </is>
      </c>
      <c r="O84" s="19" t="inlineStr"/>
      <c r="P84" s="15" t="n"/>
    </row>
    <row r="85" ht="17.5" customHeight="1">
      <c r="A85" s="15" t="n"/>
      <c r="B85" s="15" t="n"/>
      <c r="C85" s="15" t="n"/>
      <c r="D85" s="15" t="n"/>
      <c r="E85" s="15" t="n"/>
      <c r="F85" s="15" t="n"/>
      <c r="G85" s="15" t="n"/>
      <c r="H85" s="18" t="inlineStr">
        <is>
          <t>出参</t>
        </is>
      </c>
      <c r="I85" s="19" t="inlineStr">
        <is>
          <t>data</t>
        </is>
      </c>
      <c r="J85" s="19" t="inlineStr">
        <is>
          <t>research.regimen12m</t>
        </is>
      </c>
      <c r="K85" s="19" t="inlineStr">
        <is>
          <t>integer</t>
        </is>
      </c>
      <c r="L85" s="18" t="inlineStr"/>
      <c r="M85" s="19" t="inlineStr">
        <is>
          <t>当前方案持续 ≥ 12 个月人数</t>
        </is>
      </c>
      <c r="N85" s="19" t="inlineStr">
        <is>
          <t>38</t>
        </is>
      </c>
      <c r="O85" s="19" t="inlineStr"/>
      <c r="P85" s="15" t="n"/>
    </row>
    <row r="86" ht="17.5" customHeight="1">
      <c r="A86" s="15" t="n"/>
      <c r="B86" s="15" t="n"/>
      <c r="C86" s="15" t="n"/>
      <c r="D86" s="15" t="n"/>
      <c r="E86" s="15" t="n"/>
      <c r="F86" s="15" t="n"/>
      <c r="G86" s="15" t="n"/>
      <c r="H86" s="18" t="inlineStr">
        <is>
          <t>出参</t>
        </is>
      </c>
      <c r="I86" s="19" t="inlineStr">
        <is>
          <t>data</t>
        </is>
      </c>
      <c r="J86" s="19" t="inlineStr">
        <is>
          <t>research.visited90d</t>
        </is>
      </c>
      <c r="K86" s="19" t="inlineStr">
        <is>
          <t>integer</t>
        </is>
      </c>
      <c r="L86" s="18" t="inlineStr"/>
      <c r="M86" s="19" t="inlineStr">
        <is>
          <t>近 90 天有随访人数</t>
        </is>
      </c>
      <c r="N86" s="19" t="inlineStr">
        <is>
          <t>44</t>
        </is>
      </c>
      <c r="O86" s="19" t="inlineStr"/>
      <c r="P86" s="15" t="n"/>
    </row>
    <row r="87" ht="17.5" customHeight="1">
      <c r="A87" s="15" t="n"/>
      <c r="B87" s="15" t="n"/>
      <c r="C87" s="15" t="n"/>
      <c r="D87" s="15" t="n"/>
      <c r="E87" s="15" t="n"/>
      <c r="F87" s="15" t="n"/>
      <c r="G87" s="15" t="n"/>
      <c r="H87" s="18" t="inlineStr">
        <is>
          <t>出参</t>
        </is>
      </c>
      <c r="I87" s="19" t="inlineStr">
        <is>
          <t>data</t>
        </is>
      </c>
      <c r="J87" s="19" t="inlineStr">
        <is>
          <t>risks[].type</t>
        </is>
      </c>
      <c r="K87" s="19" t="inlineStr">
        <is>
          <t>enum</t>
        </is>
      </c>
      <c r="L87" s="18" t="inlineStr"/>
      <c r="M87" s="19" t="inlineStr">
        <is>
          <t>风险类型，见枚举 riskType</t>
        </is>
      </c>
      <c r="N87" s="19" t="inlineStr">
        <is>
          <t>activity_rebound</t>
        </is>
      </c>
      <c r="O87" s="19" t="inlineStr"/>
      <c r="P87" s="15" t="n"/>
    </row>
    <row r="88" ht="17.5" customHeight="1">
      <c r="A88" s="15" t="n"/>
      <c r="B88" s="15" t="n"/>
      <c r="C88" s="15" t="n"/>
      <c r="D88" s="15" t="n"/>
      <c r="E88" s="15" t="n"/>
      <c r="F88" s="15" t="n"/>
      <c r="G88" s="15" t="n"/>
      <c r="H88" s="18" t="inlineStr">
        <is>
          <t>出参</t>
        </is>
      </c>
      <c r="I88" s="19" t="inlineStr">
        <is>
          <t>data</t>
        </is>
      </c>
      <c r="J88" s="19" t="inlineStr">
        <is>
          <t>risks[].name</t>
        </is>
      </c>
      <c r="K88" s="19" t="inlineStr">
        <is>
          <t>string</t>
        </is>
      </c>
      <c r="L88" s="18" t="inlineStr"/>
      <c r="M88" s="19" t="inlineStr">
        <is>
          <t>卡片标题</t>
        </is>
      </c>
      <c r="N88" s="19" t="inlineStr">
        <is>
          <t>疾病活动度回升</t>
        </is>
      </c>
      <c r="O88" s="19" t="inlineStr"/>
      <c r="P88" s="15" t="n"/>
    </row>
    <row r="89" ht="17.5" customHeight="1">
      <c r="A89" s="15" t="n"/>
      <c r="B89" s="15" t="n"/>
      <c r="C89" s="15" t="n"/>
      <c r="D89" s="15" t="n"/>
      <c r="E89" s="15" t="n"/>
      <c r="F89" s="15" t="n"/>
      <c r="G89" s="15" t="n"/>
      <c r="H89" s="18" t="inlineStr">
        <is>
          <t>出参</t>
        </is>
      </c>
      <c r="I89" s="19" t="inlineStr">
        <is>
          <t>data</t>
        </is>
      </c>
      <c r="J89" s="19" t="inlineStr">
        <is>
          <t>risks[].level</t>
        </is>
      </c>
      <c r="K89" s="19" t="inlineStr">
        <is>
          <t>enum</t>
        </is>
      </c>
      <c r="L89" s="18" t="inlineStr"/>
      <c r="M89" s="19" t="inlineStr">
        <is>
          <t>high 高风险 / medium 中风险</t>
        </is>
      </c>
      <c r="N89" s="19" t="inlineStr">
        <is>
          <t>high</t>
        </is>
      </c>
      <c r="O89" s="19" t="inlineStr"/>
      <c r="P89" s="15" t="n"/>
    </row>
    <row r="90" ht="31" customHeight="1">
      <c r="A90" s="15" t="n"/>
      <c r="B90" s="15" t="n"/>
      <c r="C90" s="15" t="n"/>
      <c r="D90" s="15" t="n"/>
      <c r="E90" s="15" t="n"/>
      <c r="F90" s="15" t="n"/>
      <c r="G90" s="15" t="n"/>
      <c r="H90" s="18" t="inlineStr">
        <is>
          <t>出参</t>
        </is>
      </c>
      <c r="I90" s="19" t="inlineStr">
        <is>
          <t>data</t>
        </is>
      </c>
      <c r="J90" s="19" t="inlineStr">
        <is>
          <t>risks[].condition</t>
        </is>
      </c>
      <c r="K90" s="19" t="inlineStr">
        <is>
          <t>string</t>
        </is>
      </c>
      <c r="L90" s="18" t="inlineStr"/>
      <c r="M90" s="19" t="inlineStr">
        <is>
          <t>条件说明（卡片注释）</t>
        </is>
      </c>
      <c r="N90" s="19" t="inlineStr">
        <is>
          <t>治疗 6 个月后 DAS28 回升 ≥ 0.6</t>
        </is>
      </c>
      <c r="O90" s="19" t="inlineStr"/>
      <c r="P90" s="15" t="n"/>
    </row>
    <row r="91" ht="17.5" customHeight="1">
      <c r="A91" s="15" t="n"/>
      <c r="B91" s="15" t="n"/>
      <c r="C91" s="15" t="n"/>
      <c r="D91" s="15" t="n"/>
      <c r="E91" s="15" t="n"/>
      <c r="F91" s="15" t="n"/>
      <c r="G91" s="15" t="n"/>
      <c r="H91" s="18" t="inlineStr">
        <is>
          <t>出参</t>
        </is>
      </c>
      <c r="I91" s="19" t="inlineStr">
        <is>
          <t>data</t>
        </is>
      </c>
      <c r="J91" s="19" t="inlineStr">
        <is>
          <t>risks[].count</t>
        </is>
      </c>
      <c r="K91" s="19" t="inlineStr">
        <is>
          <t>integer</t>
        </is>
      </c>
      <c r="L91" s="18" t="inlineStr"/>
      <c r="M91" s="19" t="inlineStr">
        <is>
          <t>人数</t>
        </is>
      </c>
      <c r="N91" s="19" t="inlineStr">
        <is>
          <t>8</t>
        </is>
      </c>
      <c r="O91" s="19" t="inlineStr"/>
      <c r="P91" s="15" t="n"/>
    </row>
    <row r="92" ht="17.5" customHeight="1">
      <c r="A92" s="15" t="n"/>
      <c r="B92" s="15" t="n"/>
      <c r="C92" s="15" t="n"/>
      <c r="D92" s="15" t="n"/>
      <c r="E92" s="15" t="n"/>
      <c r="F92" s="15" t="n"/>
      <c r="G92" s="15" t="n"/>
      <c r="H92" s="18" t="inlineStr">
        <is>
          <t>出参</t>
        </is>
      </c>
      <c r="I92" s="19" t="inlineStr">
        <is>
          <t>data</t>
        </is>
      </c>
      <c r="J92" s="19" t="inlineStr">
        <is>
          <t>recentHighCrp[].patientId</t>
        </is>
      </c>
      <c r="K92" s="19" t="inlineStr">
        <is>
          <t>string</t>
        </is>
      </c>
      <c r="L92" s="18" t="inlineStr"/>
      <c r="M92" s="19" t="inlineStr">
        <is>
          <t>ID号（最多 5 条）</t>
        </is>
      </c>
      <c r="N92" s="19" t="inlineStr">
        <is>
          <t>611991</t>
        </is>
      </c>
      <c r="O92" s="19" t="inlineStr"/>
      <c r="P92" s="15" t="n"/>
    </row>
    <row r="93" ht="17.5" customHeight="1">
      <c r="A93" s="15" t="n"/>
      <c r="B93" s="15" t="n"/>
      <c r="C93" s="15" t="n"/>
      <c r="D93" s="15" t="n"/>
      <c r="E93" s="15" t="n"/>
      <c r="F93" s="15" t="n"/>
      <c r="G93" s="15" t="n"/>
      <c r="H93" s="18" t="inlineStr">
        <is>
          <t>出参</t>
        </is>
      </c>
      <c r="I93" s="19" t="inlineStr">
        <is>
          <t>data</t>
        </is>
      </c>
      <c r="J93" s="19" t="inlineStr">
        <is>
          <t>recentHighCrp[].name</t>
        </is>
      </c>
      <c r="K93" s="19" t="inlineStr">
        <is>
          <t>string</t>
        </is>
      </c>
      <c r="L93" s="18" t="inlineStr"/>
      <c r="M93" s="19" t="inlineStr">
        <is>
          <t>姓名</t>
        </is>
      </c>
      <c r="N93" s="19" t="inlineStr">
        <is>
          <t>王秀英</t>
        </is>
      </c>
      <c r="O93" s="19" t="inlineStr"/>
      <c r="P93" s="15" t="n"/>
    </row>
    <row r="94" ht="17.5" customHeight="1">
      <c r="A94" s="15" t="n"/>
      <c r="B94" s="15" t="n"/>
      <c r="C94" s="15" t="n"/>
      <c r="D94" s="15" t="n"/>
      <c r="E94" s="15" t="n"/>
      <c r="F94" s="15" t="n"/>
      <c r="G94" s="15" t="n"/>
      <c r="H94" s="18" t="inlineStr">
        <is>
          <t>出参</t>
        </is>
      </c>
      <c r="I94" s="19" t="inlineStr">
        <is>
          <t>data</t>
        </is>
      </c>
      <c r="J94" s="19" t="inlineStr">
        <is>
          <t>recentHighCrp[].crp</t>
        </is>
      </c>
      <c r="K94" s="19" t="inlineStr">
        <is>
          <t>number</t>
        </is>
      </c>
      <c r="L94" s="18" t="inlineStr"/>
      <c r="M94" s="19" t="inlineStr">
        <is>
          <t>CRP 值，mg/L，1 位小数</t>
        </is>
      </c>
      <c r="N94" s="19" t="inlineStr">
        <is>
          <t>42.6</t>
        </is>
      </c>
      <c r="O94" s="19" t="inlineStr"/>
      <c r="P94" s="15" t="n"/>
    </row>
    <row r="95" ht="17.5" customHeight="1">
      <c r="A95" s="15" t="n"/>
      <c r="B95" s="15" t="n"/>
      <c r="C95" s="15" t="n"/>
      <c r="D95" s="15" t="n"/>
      <c r="E95" s="15" t="n"/>
      <c r="F95" s="15" t="n"/>
      <c r="G95" s="15" t="n"/>
      <c r="H95" s="18" t="inlineStr">
        <is>
          <t>出参</t>
        </is>
      </c>
      <c r="I95" s="19" t="inlineStr">
        <is>
          <t>data</t>
        </is>
      </c>
      <c r="J95" s="19" t="inlineStr">
        <is>
          <t>recentHighCrp[].visitDate</t>
        </is>
      </c>
      <c r="K95" s="19" t="inlineStr">
        <is>
          <t>date</t>
        </is>
      </c>
      <c r="L95" s="18" t="inlineStr"/>
      <c r="M95" s="19" t="inlineStr">
        <is>
          <t>访视日期</t>
        </is>
      </c>
      <c r="N95" s="19" t="inlineStr">
        <is>
          <t>2026-09-17</t>
        </is>
      </c>
      <c r="O95" s="19" t="inlineStr"/>
      <c r="P95" s="15" t="n"/>
    </row>
    <row r="96" ht="17.5" customHeight="1">
      <c r="A96" s="15" t="n"/>
      <c r="B96" s="15" t="n"/>
      <c r="C96" s="15" t="n"/>
      <c r="D96" s="15" t="n"/>
      <c r="E96" s="15" t="n"/>
      <c r="F96" s="15" t="n"/>
      <c r="G96" s="15" t="n"/>
      <c r="H96" s="18" t="inlineStr">
        <is>
          <t>出参</t>
        </is>
      </c>
      <c r="I96" s="19" t="inlineStr">
        <is>
          <t>data</t>
        </is>
      </c>
      <c r="J96" s="19" t="inlineStr">
        <is>
          <t>recentVisits[].patientId</t>
        </is>
      </c>
      <c r="K96" s="19" t="inlineStr">
        <is>
          <t>string</t>
        </is>
      </c>
      <c r="L96" s="18" t="inlineStr"/>
      <c r="M96" s="19" t="inlineStr">
        <is>
          <t>ID号（最多 5 条）</t>
        </is>
      </c>
      <c r="N96" s="19" t="inlineStr">
        <is>
          <t>611991</t>
        </is>
      </c>
      <c r="O96" s="19" t="inlineStr"/>
      <c r="P96" s="15" t="n"/>
    </row>
    <row r="97" ht="17.5" customHeight="1">
      <c r="A97" s="15" t="n"/>
      <c r="B97" s="15" t="n"/>
      <c r="C97" s="15" t="n"/>
      <c r="D97" s="15" t="n"/>
      <c r="E97" s="15" t="n"/>
      <c r="F97" s="15" t="n"/>
      <c r="G97" s="15" t="n"/>
      <c r="H97" s="18" t="inlineStr">
        <is>
          <t>出参</t>
        </is>
      </c>
      <c r="I97" s="19" t="inlineStr">
        <is>
          <t>data</t>
        </is>
      </c>
      <c r="J97" s="19" t="inlineStr">
        <is>
          <t>recentVisits[].name</t>
        </is>
      </c>
      <c r="K97" s="19" t="inlineStr">
        <is>
          <t>string</t>
        </is>
      </c>
      <c r="L97" s="18" t="inlineStr"/>
      <c r="M97" s="19" t="inlineStr">
        <is>
          <t>姓名</t>
        </is>
      </c>
      <c r="N97" s="19" t="inlineStr">
        <is>
          <t>林书豪</t>
        </is>
      </c>
      <c r="O97" s="19" t="inlineStr"/>
      <c r="P97" s="15" t="n"/>
    </row>
    <row r="98" ht="17.5" customHeight="1">
      <c r="A98" s="15" t="n"/>
      <c r="B98" s="15" t="n"/>
      <c r="C98" s="15" t="n"/>
      <c r="D98" s="15" t="n"/>
      <c r="E98" s="15" t="n"/>
      <c r="F98" s="15" t="n"/>
      <c r="G98" s="15" t="n"/>
      <c r="H98" s="18" t="inlineStr">
        <is>
          <t>出参</t>
        </is>
      </c>
      <c r="I98" s="19" t="inlineStr">
        <is>
          <t>data</t>
        </is>
      </c>
      <c r="J98" s="19" t="inlineStr">
        <is>
          <t>recentVisits[].visitNo</t>
        </is>
      </c>
      <c r="K98" s="19" t="inlineStr">
        <is>
          <t>integer</t>
        </is>
      </c>
      <c r="L98" s="18" t="inlineStr"/>
      <c r="M98" s="19" t="inlineStr">
        <is>
          <t>第几次随访</t>
        </is>
      </c>
      <c r="N98" s="19" t="inlineStr">
        <is>
          <t>6</t>
        </is>
      </c>
      <c r="O98" s="19" t="inlineStr"/>
      <c r="P98" s="15" t="n"/>
    </row>
    <row r="99" ht="17.5" customHeight="1">
      <c r="A99" s="15" t="n"/>
      <c r="B99" s="15" t="n"/>
      <c r="C99" s="15" t="n"/>
      <c r="D99" s="15" t="n"/>
      <c r="E99" s="15" t="n"/>
      <c r="F99" s="15" t="n"/>
      <c r="G99" s="15" t="n"/>
      <c r="H99" s="18" t="inlineStr">
        <is>
          <t>出参</t>
        </is>
      </c>
      <c r="I99" s="19" t="inlineStr">
        <is>
          <t>data</t>
        </is>
      </c>
      <c r="J99" s="19" t="inlineStr">
        <is>
          <t>recentVisits[].visitDate</t>
        </is>
      </c>
      <c r="K99" s="19" t="inlineStr">
        <is>
          <t>date</t>
        </is>
      </c>
      <c r="L99" s="18" t="inlineStr"/>
      <c r="M99" s="19" t="inlineStr">
        <is>
          <t>访视日期</t>
        </is>
      </c>
      <c r="N99" s="19" t="inlineStr">
        <is>
          <t>2026-09-17</t>
        </is>
      </c>
      <c r="O99" s="19" t="inlineStr"/>
      <c r="P99" s="15" t="n"/>
    </row>
    <row r="100" ht="85" customHeight="1">
      <c r="A100" s="15" t="n"/>
      <c r="B100" s="15" t="n"/>
      <c r="C100" s="15" t="n"/>
      <c r="D100" s="15" t="n"/>
      <c r="E100" s="15" t="n"/>
      <c r="F100" s="15" t="n"/>
      <c r="G100" s="15" t="n"/>
      <c r="H100" s="20" t="inlineStr">
        <is>
          <t>页面口径</t>
        </is>
      </c>
      <c r="I100" s="21" t="inlineStr">
        <is>
          <t>—</t>
        </is>
      </c>
      <c r="J100" s="21" t="inlineStr">
        <is>
          <t>nextFollowup.dueDate / days / status</t>
        </is>
      </c>
      <c r="K100" s="21" t="inlineStr">
        <is>
          <t>整数天</t>
        </is>
      </c>
      <c r="L100" s="20" t="inlineStr"/>
      <c r="M100" s="21" t="inlineStr">
        <is>
          <t>B-03 下次随访日期 / 距今天数 / 随访计划状态
按患者随访周期推算的下一次随访</t>
        </is>
      </c>
      <c r="N100" s="21" t="inlineStr"/>
      <c r="O100" s="21" t="inlineStr">
        <is>
          <t>条件：未脱落 且 至少有 1 次已提交访视。
dueDate = 最近一次已提交访视日期 + followCycle 个自然月（目标月没有该日时取当月最后一天）。
days = dueDate − 今天。
status：days &lt; 0 → overdue；0 ≤ days ≤ 14 → soon；days &gt; 14 → later</t>
        </is>
      </c>
      <c r="P100" s="15" t="n"/>
    </row>
    <row r="101" ht="98.5" customHeight="1">
      <c r="A101" s="15" t="n"/>
      <c r="B101" s="15" t="n"/>
      <c r="C101" s="15" t="n"/>
      <c r="D101" s="15" t="n"/>
      <c r="E101" s="15" t="n"/>
      <c r="F101" s="15" t="n"/>
      <c r="G101" s="15" t="n"/>
      <c r="H101" s="20" t="inlineStr">
        <is>
          <t>页面口径</t>
        </is>
      </c>
      <c r="I101" s="21" t="inlineStr">
        <is>
          <t>—</t>
        </is>
      </c>
      <c r="J101" s="21" t="inlineStr">
        <is>
          <t>latestDas28</t>
        </is>
      </c>
      <c r="K101" s="21" t="inlineStr">
        <is>
          <t>1 位小数</t>
        </is>
      </c>
      <c r="L101" s="20" t="inlineStr"/>
      <c r="M101" s="21" t="inlineStr">
        <is>
          <t>B-05 最近一次 DAS28
患者最近一次有 DAS28 结果的访视值</t>
        </is>
      </c>
      <c r="N101" s="21" t="inlineStr"/>
      <c r="O101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mm）。缺任一组成项则不计算（null）。用哪个版本见待确认表。</t>
        </is>
      </c>
      <c r="P101" s="15" t="n"/>
    </row>
    <row r="102" ht="44.5" customHeight="1">
      <c r="A102" s="15" t="n"/>
      <c r="B102" s="15" t="n"/>
      <c r="C102" s="15" t="n"/>
      <c r="D102" s="15" t="n"/>
      <c r="E102" s="15" t="n"/>
      <c r="F102" s="15" t="n"/>
      <c r="G102" s="15" t="n"/>
      <c r="H102" s="20" t="inlineStr">
        <is>
          <t>页面口径</t>
        </is>
      </c>
      <c r="I102" s="21" t="inlineStr">
        <is>
          <t>—</t>
        </is>
      </c>
      <c r="J102" s="21" t="inlineStr">
        <is>
          <t>das28Level</t>
        </is>
      </c>
      <c r="K102" s="21" t="inlineStr">
        <is>
          <t>枚举</t>
        </is>
      </c>
      <c r="L102" s="20" t="inlineStr"/>
      <c r="M102" s="21" t="inlineStr">
        <is>
          <t>B-06 疾病活动度分级
按 DAS28 分级</t>
        </is>
      </c>
      <c r="N102" s="21" t="inlineStr"/>
      <c r="O102" s="21" t="inlineStr">
        <is>
          <t>remission 缓解：&lt; 2.6；low 低活动：2.6–3.2；moderate 中活动：&gt; 3.2 且 ≤ 5.1；high 高活动：&gt; 5.1。达标 = remission 或 low（≤ 3.2）</t>
        </is>
      </c>
      <c r="P102" s="15" t="n"/>
    </row>
    <row r="103" ht="31" customHeight="1">
      <c r="A103" s="15" t="n"/>
      <c r="B103" s="15" t="n"/>
      <c r="C103" s="15" t="n"/>
      <c r="D103" s="15" t="n"/>
      <c r="E103" s="15" t="n"/>
      <c r="F103" s="15" t="n"/>
      <c r="G103" s="15" t="n"/>
      <c r="H103" s="20" t="inlineStr">
        <is>
          <t>页面口径</t>
        </is>
      </c>
      <c r="I103" s="21" t="inlineStr">
        <is>
          <t>—</t>
        </is>
      </c>
      <c r="J103" s="21" t="inlineStr">
        <is>
          <t>incomplete</t>
        </is>
      </c>
      <c r="K103" s="21" t="inlineStr">
        <is>
          <t>布尔</t>
        </is>
      </c>
      <c r="L103" s="20" t="inlineStr"/>
      <c r="M103" s="21" t="inlineStr">
        <is>
          <t>B-07 资料完整 / 资料待补全
患者是否有未关闭的「缺失」类质控问题</t>
        </is>
      </c>
      <c r="N103" s="21" t="inlineStr"/>
      <c r="O103" s="21" t="inlineStr">
        <is>
          <t>incomplete = 存在 type=missing 且 state≠resolved 的质控问题（规则 QC-M01 ~ QC-M04）</t>
        </is>
      </c>
      <c r="P103" s="15" t="n"/>
    </row>
    <row r="104" ht="31" customHeight="1">
      <c r="A104" s="15" t="n"/>
      <c r="B104" s="15" t="n"/>
      <c r="C104" s="15" t="n"/>
      <c r="D104" s="15" t="n"/>
      <c r="E104" s="15" t="n"/>
      <c r="F104" s="15" t="n"/>
      <c r="G104" s="15" t="n"/>
      <c r="H104" s="20" t="inlineStr">
        <is>
          <t>页面口径</t>
        </is>
      </c>
      <c r="I104" s="21" t="inlineStr">
        <is>
          <t>患者规模</t>
        </is>
      </c>
      <c r="J104" s="21" t="inlineStr">
        <is>
          <t>scale.total</t>
        </is>
      </c>
      <c r="K104" s="21" t="inlineStr">
        <is>
          <t>整数</t>
        </is>
      </c>
      <c r="L104" s="20" t="inlineStr"/>
      <c r="M104" s="21" t="inlineStr">
        <is>
          <t>D-01 总患者数
同 P-01</t>
        </is>
      </c>
      <c r="N104" s="21" t="inlineStr"/>
      <c r="O104" s="21" t="inlineStr">
        <is>
          <t>同 P-01</t>
        </is>
      </c>
      <c r="P104" s="15" t="n"/>
    </row>
    <row r="105" ht="31" customHeight="1">
      <c r="A105" s="15" t="n"/>
      <c r="B105" s="15" t="n"/>
      <c r="C105" s="15" t="n"/>
      <c r="D105" s="15" t="n"/>
      <c r="E105" s="15" t="n"/>
      <c r="F105" s="15" t="n"/>
      <c r="G105" s="15" t="n"/>
      <c r="H105" s="20" t="inlineStr">
        <is>
          <t>页面口径</t>
        </is>
      </c>
      <c r="I105" s="21" t="inlineStr">
        <is>
          <t>患者规模</t>
        </is>
      </c>
      <c r="J105" s="21" t="inlineStr">
        <is>
          <t>scale.active / activeRate</t>
        </is>
      </c>
      <c r="K105" s="21" t="inlineStr">
        <is>
          <t>整数 / 0–1</t>
        </is>
      </c>
      <c r="L105" s="20" t="inlineStr"/>
      <c r="M105" s="21" t="inlineStr">
        <is>
          <t>D-02 活跃患者数 / 占全部患者 %
近 6 个月内有随访的未脱落患者</t>
        </is>
      </c>
      <c r="N105" s="21" t="inlineStr"/>
      <c r="O105" s="21" t="inlineStr">
        <is>
          <t>未脱落 且 最近一次已提交访视日期 ≥ 今天 − 183 天；占比 = active / total</t>
        </is>
      </c>
      <c r="P105" s="15" t="n"/>
    </row>
    <row r="106" ht="31" customHeight="1">
      <c r="A106" s="15" t="n"/>
      <c r="B106" s="15" t="n"/>
      <c r="C106" s="15" t="n"/>
      <c r="D106" s="15" t="n"/>
      <c r="E106" s="15" t="n"/>
      <c r="F106" s="15" t="n"/>
      <c r="G106" s="15" t="n"/>
      <c r="H106" s="20" t="inlineStr">
        <is>
          <t>页面口径</t>
        </is>
      </c>
      <c r="I106" s="21" t="inlineStr">
        <is>
          <t>患者规模</t>
        </is>
      </c>
      <c r="J106" s="21" t="inlineStr">
        <is>
          <t>scale.newThisMonth</t>
        </is>
      </c>
      <c r="K106" s="21" t="inlineStr">
        <is>
          <t>整数</t>
        </is>
      </c>
      <c r="L106" s="20" t="inlineStr"/>
      <c r="M106" s="21" t="inlineStr">
        <is>
          <t>D-03 本月新增患者
本自然月内建档的患者</t>
        </is>
      </c>
      <c r="N106" s="21" t="inlineStr"/>
      <c r="O106" s="21" t="inlineStr">
        <is>
          <t>patient.created_date 所在年月 = 今天所在年月</t>
        </is>
      </c>
      <c r="P106" s="15" t="n"/>
    </row>
    <row r="107" ht="31" customHeight="1">
      <c r="A107" s="15" t="n"/>
      <c r="B107" s="15" t="n"/>
      <c r="C107" s="15" t="n"/>
      <c r="D107" s="15" t="n"/>
      <c r="E107" s="15" t="n"/>
      <c r="F107" s="15" t="n"/>
      <c r="G107" s="15" t="n"/>
      <c r="H107" s="20" t="inlineStr">
        <is>
          <t>页面口径</t>
        </is>
      </c>
      <c r="I107" s="21" t="inlineStr">
        <is>
          <t>患者规模</t>
        </is>
      </c>
      <c r="J107" s="21" t="inlineStr">
        <is>
          <t>scale.withdrawn</t>
        </is>
      </c>
      <c r="K107" s="21" t="inlineStr">
        <is>
          <t>整数</t>
        </is>
      </c>
      <c r="L107" s="20" t="inlineStr"/>
      <c r="M107" s="21" t="inlineStr">
        <is>
          <t>D-04 已脱落 / 失访
已标记脱落的患者</t>
        </is>
      </c>
      <c r="N107" s="21" t="inlineStr"/>
      <c r="O107" s="21" t="inlineStr">
        <is>
          <t>COUNT(patient WHERE withdrawn = true)</t>
        </is>
      </c>
      <c r="P107" s="15" t="n"/>
    </row>
    <row r="108" ht="31" customHeight="1">
      <c r="A108" s="15" t="n"/>
      <c r="B108" s="15" t="n"/>
      <c r="C108" s="15" t="n"/>
      <c r="D108" s="15" t="n"/>
      <c r="E108" s="15" t="n"/>
      <c r="F108" s="15" t="n"/>
      <c r="G108" s="15" t="n"/>
      <c r="H108" s="20" t="inlineStr">
        <is>
          <t>页面口径</t>
        </is>
      </c>
      <c r="I108" s="21" t="inlineStr">
        <is>
          <t>随访管理</t>
        </is>
      </c>
      <c r="J108" s="21" t="inlineStr">
        <is>
          <t>followup.overdue</t>
        </is>
      </c>
      <c r="K108" s="21" t="inlineStr">
        <is>
          <t>整数</t>
        </is>
      </c>
      <c r="L108" s="20" t="inlineStr"/>
      <c r="M108" s="21" t="inlineStr">
        <is>
          <t>D-05 已逾期
随访计划已过期</t>
        </is>
      </c>
      <c r="N108" s="21" t="inlineStr"/>
      <c r="O108" s="21" t="inlineStr">
        <is>
          <t>B-03 status = overdue 的人数</t>
        </is>
      </c>
      <c r="P108" s="15" t="n"/>
    </row>
    <row r="109" ht="17.5" customHeight="1">
      <c r="A109" s="15" t="n"/>
      <c r="B109" s="15" t="n"/>
      <c r="C109" s="15" t="n"/>
      <c r="D109" s="15" t="n"/>
      <c r="E109" s="15" t="n"/>
      <c r="F109" s="15" t="n"/>
      <c r="G109" s="15" t="n"/>
      <c r="H109" s="20" t="inlineStr">
        <is>
          <t>页面口径</t>
        </is>
      </c>
      <c r="I109" s="21" t="inlineStr">
        <is>
          <t>随访管理</t>
        </is>
      </c>
      <c r="J109" s="21" t="inlineStr">
        <is>
          <t>followup.due7</t>
        </is>
      </c>
      <c r="K109" s="21" t="inlineStr">
        <is>
          <t>整数</t>
        </is>
      </c>
      <c r="L109" s="20" t="inlineStr"/>
      <c r="M109" s="21" t="inlineStr">
        <is>
          <t>D-06 7 日内待随访</t>
        </is>
      </c>
      <c r="N109" s="21" t="inlineStr"/>
      <c r="O109" s="21" t="inlineStr">
        <is>
          <t>0 ≤ days ≤ 7 的人数（不含已逾期）</t>
        </is>
      </c>
      <c r="P109" s="15" t="n"/>
    </row>
    <row r="110" ht="17.5" customHeight="1">
      <c r="A110" s="15" t="n"/>
      <c r="B110" s="15" t="n"/>
      <c r="C110" s="15" t="n"/>
      <c r="D110" s="15" t="n"/>
      <c r="E110" s="15" t="n"/>
      <c r="F110" s="15" t="n"/>
      <c r="G110" s="15" t="n"/>
      <c r="H110" s="20" t="inlineStr">
        <is>
          <t>页面口径</t>
        </is>
      </c>
      <c r="I110" s="21" t="inlineStr">
        <is>
          <t>随访管理</t>
        </is>
      </c>
      <c r="J110" s="21" t="inlineStr">
        <is>
          <t>followup.due30</t>
        </is>
      </c>
      <c r="K110" s="21" t="inlineStr">
        <is>
          <t>整数</t>
        </is>
      </c>
      <c r="L110" s="20" t="inlineStr"/>
      <c r="M110" s="21" t="inlineStr">
        <is>
          <t>D-07 30 日内待随访</t>
        </is>
      </c>
      <c r="N110" s="21" t="inlineStr"/>
      <c r="O110" s="21" t="inlineStr">
        <is>
          <t>0 ≤ days ≤ 30 的人数（含 7 日内，不含已逾期）</t>
        </is>
      </c>
      <c r="P110" s="15" t="n"/>
    </row>
    <row r="111" ht="44.5" customHeight="1">
      <c r="A111" s="15" t="n"/>
      <c r="B111" s="15" t="n"/>
      <c r="C111" s="15" t="n"/>
      <c r="D111" s="15" t="n"/>
      <c r="E111" s="15" t="n"/>
      <c r="F111" s="15" t="n"/>
      <c r="G111" s="15" t="n"/>
      <c r="H111" s="20" t="inlineStr">
        <is>
          <t>页面口径</t>
        </is>
      </c>
      <c r="I111" s="21" t="inlineStr">
        <is>
          <t>随访管理</t>
        </is>
      </c>
      <c r="J111" s="21" t="inlineStr">
        <is>
          <t>followup.onTimeRate / planCount</t>
        </is>
      </c>
      <c r="K111" s="21" t="inlineStr">
        <is>
          <t>0–1</t>
        </is>
      </c>
      <c r="L111" s="20" t="inlineStr"/>
      <c r="M111" s="21" t="inlineStr">
        <is>
          <t>D-08 按期随访率 / N 项随访计划
有随访计划的患者中未逾期的比例（与随访管理页 F-04 同一口径）</t>
        </is>
      </c>
      <c r="N111" s="21" t="inlineStr"/>
      <c r="O111" s="21" t="inlineStr">
        <is>
          <t>planCount = 满足 B-03 条件的患者数；onTimeRate = (planCount − overdue) / planCount</t>
        </is>
      </c>
      <c r="P111" s="15" t="n"/>
    </row>
    <row r="112" ht="31" customHeight="1">
      <c r="A112" s="15" t="n"/>
      <c r="B112" s="15" t="n"/>
      <c r="C112" s="15" t="n"/>
      <c r="D112" s="15" t="n"/>
      <c r="E112" s="15" t="n"/>
      <c r="F112" s="15" t="n"/>
      <c r="G112" s="15" t="n"/>
      <c r="H112" s="20" t="inlineStr">
        <is>
          <t>页面口径</t>
        </is>
      </c>
      <c r="I112" s="21" t="inlineStr">
        <is>
          <t>需关注患者</t>
        </is>
      </c>
      <c r="J112" s="21" t="inlineStr">
        <is>
          <t>attention.notAtTarget</t>
        </is>
      </c>
      <c r="K112" s="21" t="inlineStr">
        <is>
          <t>整数</t>
        </is>
      </c>
      <c r="L112" s="20" t="inlineStr"/>
      <c r="M112" s="21" t="inlineStr">
        <is>
          <t>D-09 N 人未达标（中高疾病活动）
最近一次 DAS28 &gt; 3.2</t>
        </is>
      </c>
      <c r="N112" s="21" t="inlineStr"/>
      <c r="O112" s="21" t="inlineStr">
        <is>
          <t>B-05 最近一次 DAS28 &gt; 3.2 的人数（同一患者可计入多项）</t>
        </is>
      </c>
      <c r="P112" s="15" t="n"/>
    </row>
    <row r="113" ht="31" customHeight="1">
      <c r="A113" s="15" t="n"/>
      <c r="B113" s="15" t="n"/>
      <c r="C113" s="15" t="n"/>
      <c r="D113" s="15" t="n"/>
      <c r="E113" s="15" t="n"/>
      <c r="F113" s="15" t="n"/>
      <c r="G113" s="15" t="n"/>
      <c r="H113" s="20" t="inlineStr">
        <is>
          <t>页面口径</t>
        </is>
      </c>
      <c r="I113" s="21" t="inlineStr">
        <is>
          <t>需关注患者</t>
        </is>
      </c>
      <c r="J113" s="21" t="inlineStr">
        <is>
          <t>attention.highCrp</t>
        </is>
      </c>
      <c r="K113" s="21" t="inlineStr">
        <is>
          <t>整数</t>
        </is>
      </c>
      <c r="L113" s="20" t="inlineStr"/>
      <c r="M113" s="21" t="inlineStr">
        <is>
          <t>D-10 炎症指标升高（CRP &gt; 10）
最近一次 CRP &gt; 10 mg/L</t>
        </is>
      </c>
      <c r="N113" s="21" t="inlineStr"/>
      <c r="O113" s="21" t="inlineStr">
        <is>
          <t>每位患者最近一次有 CRP 的已提交访视，LAB.crp &gt; 10</t>
        </is>
      </c>
      <c r="P113" s="15" t="n"/>
    </row>
    <row r="114" ht="17.5" customHeight="1">
      <c r="A114" s="15" t="n"/>
      <c r="B114" s="15" t="n"/>
      <c r="C114" s="15" t="n"/>
      <c r="D114" s="15" t="n"/>
      <c r="E114" s="15" t="n"/>
      <c r="F114" s="15" t="n"/>
      <c r="G114" s="15" t="n"/>
      <c r="H114" s="20" t="inlineStr">
        <is>
          <t>页面口径</t>
        </is>
      </c>
      <c r="I114" s="21" t="inlineStr">
        <is>
          <t>需关注患者</t>
        </is>
      </c>
      <c r="J114" s="21" t="inlineStr">
        <is>
          <t>attention.highActivity</t>
        </is>
      </c>
      <c r="K114" s="21" t="inlineStr">
        <is>
          <t>整数</t>
        </is>
      </c>
      <c r="L114" s="20" t="inlineStr"/>
      <c r="M114" s="21" t="inlineStr">
        <is>
          <t>D-11 高疾病活动（DAS28 &gt; 5.1）</t>
        </is>
      </c>
      <c r="N114" s="21" t="inlineStr"/>
      <c r="O114" s="21" t="inlineStr">
        <is>
          <t>B-05 最近一次 DAS28 &gt; 5.1 的人数</t>
        </is>
      </c>
      <c r="P114" s="15" t="n"/>
    </row>
    <row r="115" ht="31" customHeight="1">
      <c r="A115" s="15" t="n"/>
      <c r="B115" s="15" t="n"/>
      <c r="C115" s="15" t="n"/>
      <c r="D115" s="15" t="n"/>
      <c r="E115" s="15" t="n"/>
      <c r="F115" s="15" t="n"/>
      <c r="G115" s="15" t="n"/>
      <c r="H115" s="20" t="inlineStr">
        <is>
          <t>页面口径</t>
        </is>
      </c>
      <c r="I115" s="21" t="inlineStr">
        <is>
          <t>需关注患者</t>
        </is>
      </c>
      <c r="J115" s="21" t="inlineStr">
        <is>
          <t>attention.fmComorbid</t>
        </is>
      </c>
      <c r="K115" s="21" t="inlineStr">
        <is>
          <t>整数</t>
        </is>
      </c>
      <c r="L115" s="20" t="inlineStr"/>
      <c r="M115" s="21" t="inlineStr">
        <is>
          <t>D-12 合并 FM · 评分需复核
其他病史含 FM 的患者</t>
        </is>
      </c>
      <c r="N115" s="21" t="inlineStr"/>
      <c r="O115" s="21" t="inlineStr">
        <is>
          <t>COUNT(patient_comorbidity WHERE disease = FM) 去重患者</t>
        </is>
      </c>
      <c r="P115" s="15" t="n"/>
    </row>
    <row r="116" ht="44.5" customHeight="1">
      <c r="A116" s="15" t="n"/>
      <c r="B116" s="15" t="n"/>
      <c r="C116" s="15" t="n"/>
      <c r="D116" s="15" t="n"/>
      <c r="E116" s="15" t="n"/>
      <c r="F116" s="15" t="n"/>
      <c r="G116" s="15" t="n"/>
      <c r="H116" s="20" t="inlineStr">
        <is>
          <t>页面口径</t>
        </is>
      </c>
      <c r="I116" s="21" t="inlineStr">
        <is>
          <t>疾病活动度 · DAS28</t>
        </is>
      </c>
      <c r="J116" s="21" t="inlineStr">
        <is>
          <t>das28.dist[] / evaluable / targetRate</t>
        </is>
      </c>
      <c r="K116" s="21" t="inlineStr">
        <is>
          <t>整数 / 0–1</t>
        </is>
      </c>
      <c r="L116" s="20" t="inlineStr"/>
      <c r="M116" s="21" t="inlineStr">
        <is>
          <t>D-13 4 档人数与占比 / 达标率
最近一次 DAS28 分布</t>
        </is>
      </c>
      <c r="N116" s="21" t="inlineStr"/>
      <c r="O116" s="21" t="inlineStr">
        <is>
          <t>evaluable = 有最近一次 DAS28 的人数；各档按 B-06 分级计数；rate = count / evaluable；targetRate = (remission + low) / evaluable</t>
        </is>
      </c>
      <c r="P116" s="15" t="n"/>
    </row>
    <row r="117" ht="44.5" customHeight="1">
      <c r="A117" s="15" t="n"/>
      <c r="B117" s="15" t="n"/>
      <c r="C117" s="15" t="n"/>
      <c r="D117" s="15" t="n"/>
      <c r="E117" s="15" t="n"/>
      <c r="F117" s="15" t="n"/>
      <c r="G117" s="15" t="n"/>
      <c r="H117" s="20" t="inlineStr">
        <is>
          <t>页面口径</t>
        </is>
      </c>
      <c r="I117" s="21" t="inlineStr">
        <is>
          <t>数据质量</t>
        </is>
      </c>
      <c r="J117" s="21" t="inlineStr">
        <is>
          <t>quality.completeRate</t>
        </is>
      </c>
      <c r="K117" s="21" t="inlineStr">
        <is>
          <t>0–1，页面整数百分比</t>
        </is>
      </c>
      <c r="L117" s="20" t="inlineStr"/>
      <c r="M117" s="21" t="inlineStr">
        <is>
          <t>D-14 患者资料完整率
资料完整的患者占比</t>
        </is>
      </c>
      <c r="N117" s="21" t="inlineStr"/>
      <c r="O117" s="21">
        <f> (total − incomplete 人数) / total，incomplete 见 B-07</f>
        <v/>
      </c>
      <c r="P117" s="15" t="n"/>
    </row>
    <row r="118" ht="44.5" customHeight="1">
      <c r="A118" s="15" t="n"/>
      <c r="B118" s="15" t="n"/>
      <c r="C118" s="15" t="n"/>
      <c r="D118" s="15" t="n"/>
      <c r="E118" s="15" t="n"/>
      <c r="F118" s="15" t="n"/>
      <c r="G118" s="15" t="n"/>
      <c r="H118" s="20" t="inlineStr">
        <is>
          <t>页面口径</t>
        </is>
      </c>
      <c r="I118" s="21" t="inlineStr">
        <is>
          <t>数据质量</t>
        </is>
      </c>
      <c r="J118" s="21" t="inlineStr">
        <is>
          <t>quality.missing[]</t>
        </is>
      </c>
      <c r="K118" s="21" t="inlineStr">
        <is>
          <t>整数</t>
        </is>
      </c>
      <c r="L118" s="20" t="inlineStr"/>
      <c r="M118" s="21" t="inlineStr">
        <is>
          <t>D-15 缺 DAS28 评分 / 缺基线检验 / 缺合并疾病记录 / 缺用药史
各缺失规则涉及的患者数</t>
        </is>
      </c>
      <c r="N118" s="21" t="inlineStr"/>
      <c r="O118" s="21" t="inlineStr">
        <is>
          <t>按规则 QC-M01 ~ QC-M04 分别统计未关闭问题的去重患者数（同一患者可计入多项）</t>
        </is>
      </c>
      <c r="P118" s="15" t="n"/>
    </row>
    <row r="119" ht="31" customHeight="1">
      <c r="A119" s="15" t="n"/>
      <c r="B119" s="15" t="n"/>
      <c r="C119" s="15" t="n"/>
      <c r="D119" s="15" t="n"/>
      <c r="E119" s="15" t="n"/>
      <c r="F119" s="15" t="n"/>
      <c r="G119" s="15" t="n"/>
      <c r="H119" s="20" t="inlineStr">
        <is>
          <t>页面口径</t>
        </is>
      </c>
      <c r="I119" s="21" t="inlineStr">
        <is>
          <t>研究数据</t>
        </is>
      </c>
      <c r="J119" s="21" t="inlineStr">
        <is>
          <t>research.validSample</t>
        </is>
      </c>
      <c r="K119" s="21" t="inlineStr">
        <is>
          <t>整数</t>
        </is>
      </c>
      <c r="L119" s="20" t="inlineStr"/>
      <c r="M119" s="21" t="inlineStr">
        <is>
          <t>D-16 有效研究样本数
可用于分析的患者</t>
        </is>
      </c>
      <c r="N119" s="21" t="inlineStr"/>
      <c r="O119" s="21" t="inlineStr">
        <is>
          <t>未脱落 且 已提交访视 ≥ 1 且 资料完整（B-07）</t>
        </is>
      </c>
      <c r="P119" s="15" t="n"/>
    </row>
    <row r="120" ht="17.5" customHeight="1">
      <c r="A120" s="15" t="n"/>
      <c r="B120" s="15" t="n"/>
      <c r="C120" s="15" t="n"/>
      <c r="D120" s="15" t="n"/>
      <c r="E120" s="15" t="n"/>
      <c r="F120" s="15" t="n"/>
      <c r="G120" s="15" t="n"/>
      <c r="H120" s="20" t="inlineStr">
        <is>
          <t>页面口径</t>
        </is>
      </c>
      <c r="I120" s="21" t="inlineStr">
        <is>
          <t>研究数据</t>
        </is>
      </c>
      <c r="J120" s="21" t="inlineStr">
        <is>
          <t>research.totalVisits</t>
        </is>
      </c>
      <c r="K120" s="21" t="inlineStr">
        <is>
          <t>整数</t>
        </is>
      </c>
      <c r="L120" s="20" t="inlineStr"/>
      <c r="M120" s="21" t="inlineStr">
        <is>
          <t>D-17 累计完成访视</t>
        </is>
      </c>
      <c r="N120" s="21" t="inlineStr"/>
      <c r="O120" s="21" t="inlineStr">
        <is>
          <t>COUNT(visit WHERE status = submitted)</t>
        </is>
      </c>
      <c r="P120" s="15" t="n"/>
    </row>
    <row r="121" ht="44.5" customHeight="1">
      <c r="A121" s="15" t="n"/>
      <c r="B121" s="15" t="n"/>
      <c r="C121" s="15" t="n"/>
      <c r="D121" s="15" t="n"/>
      <c r="E121" s="15" t="n"/>
      <c r="F121" s="15" t="n"/>
      <c r="G121" s="15" t="n"/>
      <c r="H121" s="20" t="inlineStr">
        <is>
          <t>页面口径</t>
        </is>
      </c>
      <c r="I121" s="21" t="inlineStr">
        <is>
          <t>研究数据</t>
        </is>
      </c>
      <c r="J121" s="21" t="inlineStr">
        <is>
          <t>research.regimen12m</t>
        </is>
      </c>
      <c r="K121" s="21" t="inlineStr">
        <is>
          <t>整数</t>
        </is>
      </c>
      <c r="L121" s="20" t="inlineStr"/>
      <c r="M121" s="21" t="inlineStr">
        <is>
          <t>D-18 当前方案持续 ≥ 12 个月
当前治疗方案已持续 12 个月以上</t>
        </is>
      </c>
      <c r="N121" s="21" t="inlineStr"/>
      <c r="O121" s="21" t="inlineStr">
        <is>
          <t>取最近一次访视用药明细中主要 DMARD（csDMARD / bDMARD / tsDMARD）的起始日期 TRT.med.start_date，今天 − 起始日期 ≥ 12 个月；方案判定规则待医学确认</t>
        </is>
      </c>
      <c r="P121" s="15" t="n"/>
    </row>
    <row r="122" ht="17.5" customHeight="1">
      <c r="A122" s="15" t="n"/>
      <c r="B122" s="15" t="n"/>
      <c r="C122" s="15" t="n"/>
      <c r="D122" s="15" t="n"/>
      <c r="E122" s="15" t="n"/>
      <c r="F122" s="15" t="n"/>
      <c r="G122" s="15" t="n"/>
      <c r="H122" s="20" t="inlineStr">
        <is>
          <t>页面口径</t>
        </is>
      </c>
      <c r="I122" s="21" t="inlineStr">
        <is>
          <t>研究数据</t>
        </is>
      </c>
      <c r="J122" s="21" t="inlineStr">
        <is>
          <t>research.visited90d</t>
        </is>
      </c>
      <c r="K122" s="21" t="inlineStr">
        <is>
          <t>整数</t>
        </is>
      </c>
      <c r="L122" s="20" t="inlineStr"/>
      <c r="M122" s="21" t="inlineStr">
        <is>
          <t>D-19 近 90 天有随访</t>
        </is>
      </c>
      <c r="N122" s="21" t="inlineStr"/>
      <c r="O122" s="21" t="inlineStr">
        <is>
          <t>最近一次已提交访视日期 ≥ 今天 − 90 天</t>
        </is>
      </c>
      <c r="P122" s="15" t="n"/>
    </row>
    <row r="123" ht="31" customHeight="1">
      <c r="A123" s="15" t="n"/>
      <c r="B123" s="15" t="n"/>
      <c r="C123" s="15" t="n"/>
      <c r="D123" s="15" t="n"/>
      <c r="E123" s="15" t="n"/>
      <c r="F123" s="15" t="n"/>
      <c r="G123" s="15" t="n"/>
      <c r="H123" s="20" t="inlineStr">
        <is>
          <t>页面口径</t>
        </is>
      </c>
      <c r="I123" s="21" t="inlineStr">
        <is>
          <t>风险提醒</t>
        </is>
      </c>
      <c r="J123" s="21" t="inlineStr">
        <is>
          <t>risks[].count</t>
        </is>
      </c>
      <c r="K123" s="21" t="inlineStr">
        <is>
          <t>整数</t>
        </is>
      </c>
      <c r="L123" s="20" t="inlineStr"/>
      <c r="M123" s="21" t="inlineStr">
        <is>
          <t>D-20 3 张卡片人数
见 D-21 ~ D-23</t>
        </is>
      </c>
      <c r="N123" s="21" t="inlineStr"/>
      <c r="O123" s="21" t="inlineStr">
        <is>
          <t>各类型名单总数</t>
        </is>
      </c>
      <c r="P123" s="15" t="n"/>
    </row>
    <row r="124" ht="44.5" customHeight="1">
      <c r="A124" s="15" t="n"/>
      <c r="B124" s="15" t="n"/>
      <c r="C124" s="15" t="n"/>
      <c r="D124" s="15" t="n"/>
      <c r="E124" s="15" t="n"/>
      <c r="F124" s="15" t="n"/>
      <c r="G124" s="15" t="n"/>
      <c r="H124" s="20" t="inlineStr">
        <is>
          <t>页面口径</t>
        </is>
      </c>
      <c r="I124" s="21" t="inlineStr">
        <is>
          <t>风险提醒</t>
        </is>
      </c>
      <c r="J124" s="21" t="inlineStr">
        <is>
          <t>activity_rebound</t>
        </is>
      </c>
      <c r="K124" s="21" t="inlineStr">
        <is>
          <t>整数</t>
        </is>
      </c>
      <c r="L124" s="20" t="inlineStr"/>
      <c r="M124" s="21" t="inlineStr">
        <is>
          <t>D-21 疾病活动度回升
治疗 6 个月后 DAS28 回升</t>
        </is>
      </c>
      <c r="N124" s="21" t="inlineStr"/>
      <c r="O124" s="21" t="inlineStr">
        <is>
          <t>当前方案起始后第 6 个月（±30 天内最近的一次访视）的 DAS28 记为 das28Prev；最近一次 DAS28 − das28Prev ≥ 0.6</t>
        </is>
      </c>
      <c r="P124" s="15" t="n"/>
    </row>
    <row r="125" ht="31" customHeight="1">
      <c r="A125" s="15" t="n"/>
      <c r="B125" s="15" t="n"/>
      <c r="C125" s="15" t="n"/>
      <c r="D125" s="15" t="n"/>
      <c r="E125" s="15" t="n"/>
      <c r="F125" s="15" t="n"/>
      <c r="G125" s="15" t="n"/>
      <c r="H125" s="20" t="inlineStr">
        <is>
          <t>页面口径</t>
        </is>
      </c>
      <c r="I125" s="21" t="inlineStr">
        <is>
          <t>风险提醒</t>
        </is>
      </c>
      <c r="J125" s="21" t="inlineStr">
        <is>
          <t>high_activity</t>
        </is>
      </c>
      <c r="K125" s="21" t="inlineStr">
        <is>
          <t>整数</t>
        </is>
      </c>
      <c r="L125" s="20" t="inlineStr"/>
      <c r="M125" s="21" t="inlineStr">
        <is>
          <t>D-22 高疾病活动
最近一次 DAS28 &gt; 5.1</t>
        </is>
      </c>
      <c r="N125" s="21" t="inlineStr"/>
      <c r="O125" s="21" t="inlineStr">
        <is>
          <t>同 D-11</t>
        </is>
      </c>
      <c r="P125" s="15" t="n"/>
    </row>
    <row r="126" ht="31" customHeight="1">
      <c r="A126" s="15" t="n"/>
      <c r="B126" s="15" t="n"/>
      <c r="C126" s="15" t="n"/>
      <c r="D126" s="15" t="n"/>
      <c r="E126" s="15" t="n"/>
      <c r="F126" s="15" t="n"/>
      <c r="G126" s="15" t="n"/>
      <c r="H126" s="20" t="inlineStr">
        <is>
          <t>页面口径</t>
        </is>
      </c>
      <c r="I126" s="21" t="inlineStr">
        <is>
          <t>风险提醒</t>
        </is>
      </c>
      <c r="J126" s="21" t="inlineStr">
        <is>
          <t>overdue_90</t>
        </is>
      </c>
      <c r="K126" s="21" t="inlineStr">
        <is>
          <t>整数</t>
        </is>
      </c>
      <c r="L126" s="20" t="inlineStr"/>
      <c r="M126" s="21" t="inlineStr">
        <is>
          <t>D-23 随访逾期超 3 个月
逾期超过 90 天</t>
        </is>
      </c>
      <c r="N126" s="21" t="inlineStr"/>
      <c r="O126" s="21" t="inlineStr">
        <is>
          <t>B-03 days &lt; −90</t>
        </is>
      </c>
      <c r="P126" s="15" t="n"/>
    </row>
    <row r="127" ht="44.5" customHeight="1">
      <c r="A127" s="15" t="n"/>
      <c r="B127" s="15" t="n"/>
      <c r="C127" s="15" t="n"/>
      <c r="D127" s="15" t="n"/>
      <c r="E127" s="15" t="n"/>
      <c r="F127" s="15" t="n"/>
      <c r="G127" s="15" t="n"/>
      <c r="H127" s="20" t="inlineStr">
        <is>
          <t>页面口径</t>
        </is>
      </c>
      <c r="I127" s="21" t="inlineStr">
        <is>
          <t>近期动态</t>
        </is>
      </c>
      <c r="J127" s="21" t="inlineStr">
        <is>
          <t>recentHighCrp[] / recentVisits[]</t>
        </is>
      </c>
      <c r="K127" s="21" t="inlineStr">
        <is>
          <t>列表</t>
        </is>
      </c>
      <c r="L127" s="20" t="inlineStr"/>
      <c r="M127" s="21" t="inlineStr">
        <is>
          <t>D-24 最近炎症指标偏高 / 最近完成随访
各取 5 条</t>
        </is>
      </c>
      <c r="N127" s="21" t="inlineStr"/>
      <c r="O127" s="21" t="inlineStr">
        <is>
          <t>recentHighCrp：最近一次访视 CRP &gt; 20 mg/L 的患者，按访视日期倒序前 5；recentVisits：已提交访视按访视日期倒序前 5（每位患者只取最新一次）</t>
        </is>
      </c>
      <c r="P127" s="15" t="n"/>
    </row>
    <row r="128" ht="31" customHeight="1">
      <c r="A128" s="8" t="inlineStr">
        <is>
          <t>数据看板</t>
        </is>
      </c>
      <c r="B128" s="8" t="inlineStr">
        <is>
          <t>dashboard.html</t>
        </is>
      </c>
      <c r="C128" s="8" t="inlineStr">
        <is>
          <t>风险提醒 · 点击卡片弹出名单</t>
        </is>
      </c>
      <c r="D128" s="9" t="inlineStr">
        <is>
          <t>D02</t>
        </is>
      </c>
      <c r="E128" s="10" t="inlineStr">
        <is>
          <t>风险患者名单</t>
        </is>
      </c>
      <c r="F128" s="11" t="inlineStr">
        <is>
          <t>GET</t>
        </is>
      </c>
      <c r="G128" s="12" t="inlineStr">
        <is>
          <t>/api/v1/stats/risk-lists/{type}</t>
        </is>
      </c>
      <c r="H128" s="13" t="inlineStr">
        <is>
          <t>入参</t>
        </is>
      </c>
      <c r="I128" s="14" t="inlineStr">
        <is>
          <t>path</t>
        </is>
      </c>
      <c r="J128" s="14" t="inlineStr">
        <is>
          <t>type</t>
        </is>
      </c>
      <c r="K128" s="14" t="inlineStr">
        <is>
          <t>enum</t>
        </is>
      </c>
      <c r="L128" s="13" t="inlineStr">
        <is>
          <t>是</t>
        </is>
      </c>
      <c r="M128" s="14" t="inlineStr">
        <is>
          <t>风险类型：activity_rebound / high_activity / overdue_90</t>
        </is>
      </c>
      <c r="N128" s="14" t="inlineStr">
        <is>
          <t>overdue_90</t>
        </is>
      </c>
      <c r="O128" s="14" t="inlineStr"/>
      <c r="P128" s="8" t="inlineStr">
        <is>
          <t>弹窗默认显示前 12 位（size=12），「查看全部」跳随访管理或患者列表。</t>
        </is>
      </c>
    </row>
    <row r="129" ht="17.5" customHeight="1">
      <c r="A129" s="15" t="n"/>
      <c r="B129" s="15" t="n"/>
      <c r="C129" s="15" t="n"/>
      <c r="D129" s="15" t="n"/>
      <c r="E129" s="15" t="n"/>
      <c r="F129" s="15" t="n"/>
      <c r="G129" s="15" t="n"/>
      <c r="H129" s="16" t="inlineStr">
        <is>
          <t>入参</t>
        </is>
      </c>
      <c r="I129" s="17" t="inlineStr">
        <is>
          <t>query</t>
        </is>
      </c>
      <c r="J129" s="17" t="inlineStr">
        <is>
          <t>studyId</t>
        </is>
      </c>
      <c r="K129" s="17" t="inlineStr">
        <is>
          <t>string</t>
        </is>
      </c>
      <c r="L129" s="16" t="inlineStr">
        <is>
          <t>是</t>
        </is>
      </c>
      <c r="M129" s="17" t="inlineStr">
        <is>
          <t>研究库编码；一期固定 RA</t>
        </is>
      </c>
      <c r="N129" s="17" t="inlineStr">
        <is>
          <t>RA</t>
        </is>
      </c>
      <c r="O129" s="17" t="inlineStr"/>
      <c r="P129" s="15" t="n"/>
    </row>
    <row r="130" ht="17.5" customHeight="1">
      <c r="A130" s="15" t="n"/>
      <c r="B130" s="15" t="n"/>
      <c r="C130" s="15" t="n"/>
      <c r="D130" s="15" t="n"/>
      <c r="E130" s="15" t="n"/>
      <c r="F130" s="15" t="n"/>
      <c r="G130" s="15" t="n"/>
      <c r="H130" s="16" t="inlineStr">
        <is>
          <t>入参</t>
        </is>
      </c>
      <c r="I130" s="17" t="inlineStr">
        <is>
          <t>query</t>
        </is>
      </c>
      <c r="J130" s="17" t="inlineStr">
        <is>
          <t>page</t>
        </is>
      </c>
      <c r="K130" s="17" t="inlineStr">
        <is>
          <t>integer</t>
        </is>
      </c>
      <c r="L130" s="16" t="inlineStr">
        <is>
          <t>否</t>
        </is>
      </c>
      <c r="M130" s="17" t="inlineStr">
        <is>
          <t>页码，从 1 开始，默认 1</t>
        </is>
      </c>
      <c r="N130" s="17" t="inlineStr">
        <is>
          <t>1</t>
        </is>
      </c>
      <c r="O130" s="17" t="inlineStr"/>
      <c r="P130" s="15" t="n"/>
    </row>
    <row r="131" ht="31" customHeight="1">
      <c r="A131" s="15" t="n"/>
      <c r="B131" s="15" t="n"/>
      <c r="C131" s="15" t="n"/>
      <c r="D131" s="15" t="n"/>
      <c r="E131" s="15" t="n"/>
      <c r="F131" s="15" t="n"/>
      <c r="G131" s="15" t="n"/>
      <c r="H131" s="16" t="inlineStr">
        <is>
          <t>入参</t>
        </is>
      </c>
      <c r="I131" s="17" t="inlineStr">
        <is>
          <t>query</t>
        </is>
      </c>
      <c r="J131" s="17" t="inlineStr">
        <is>
          <t>size</t>
        </is>
      </c>
      <c r="K131" s="17" t="inlineStr">
        <is>
          <t>integer</t>
        </is>
      </c>
      <c r="L131" s="16" t="inlineStr">
        <is>
          <t>否</t>
        </is>
      </c>
      <c r="M131" s="17" t="inlineStr">
        <is>
          <t>每页条数，默认 20，最大 200；前端下拉 8 / 16 / 32</t>
        </is>
      </c>
      <c r="N131" s="17" t="inlineStr">
        <is>
          <t>8</t>
        </is>
      </c>
      <c r="O131" s="17" t="inlineStr"/>
      <c r="P131" s="15" t="n"/>
    </row>
    <row r="132" ht="17.5" customHeight="1">
      <c r="A132" s="15" t="n"/>
      <c r="B132" s="15" t="n"/>
      <c r="C132" s="15" t="n"/>
      <c r="D132" s="15" t="n"/>
      <c r="E132" s="15" t="n"/>
      <c r="F132" s="15" t="n"/>
      <c r="G132" s="15" t="n"/>
      <c r="H132" s="18" t="inlineStr">
        <is>
          <t>出参</t>
        </is>
      </c>
      <c r="I132" s="19" t="inlineStr">
        <is>
          <t>data</t>
        </is>
      </c>
      <c r="J132" s="19" t="inlineStr">
        <is>
          <t>items[].patientId</t>
        </is>
      </c>
      <c r="K132" s="19" t="inlineStr">
        <is>
          <t>string</t>
        </is>
      </c>
      <c r="L132" s="18" t="inlineStr"/>
      <c r="M132" s="19" t="inlineStr">
        <is>
          <t>ID号</t>
        </is>
      </c>
      <c r="N132" s="19" t="inlineStr">
        <is>
          <t>611991</t>
        </is>
      </c>
      <c r="O132" s="19" t="inlineStr"/>
      <c r="P132" s="15" t="n"/>
    </row>
    <row r="133" ht="17.5" customHeight="1">
      <c r="A133" s="15" t="n"/>
      <c r="B133" s="15" t="n"/>
      <c r="C133" s="15" t="n"/>
      <c r="D133" s="15" t="n"/>
      <c r="E133" s="15" t="n"/>
      <c r="F133" s="15" t="n"/>
      <c r="G133" s="15" t="n"/>
      <c r="H133" s="18" t="inlineStr">
        <is>
          <t>出参</t>
        </is>
      </c>
      <c r="I133" s="19" t="inlineStr">
        <is>
          <t>data</t>
        </is>
      </c>
      <c r="J133" s="19" t="inlineStr">
        <is>
          <t>items[].name</t>
        </is>
      </c>
      <c r="K133" s="19" t="inlineStr">
        <is>
          <t>string</t>
        </is>
      </c>
      <c r="L133" s="18" t="inlineStr"/>
      <c r="M133" s="19" t="inlineStr">
        <is>
          <t>姓名</t>
        </is>
      </c>
      <c r="N133" s="19" t="inlineStr">
        <is>
          <t>林书豪</t>
        </is>
      </c>
      <c r="O133" s="19" t="inlineStr"/>
      <c r="P133" s="15" t="n"/>
    </row>
    <row r="134" ht="17.5" customHeight="1">
      <c r="A134" s="15" t="n"/>
      <c r="B134" s="15" t="n"/>
      <c r="C134" s="15" t="n"/>
      <c r="D134" s="15" t="n"/>
      <c r="E134" s="15" t="n"/>
      <c r="F134" s="15" t="n"/>
      <c r="G134" s="15" t="n"/>
      <c r="H134" s="18" t="inlineStr">
        <is>
          <t>出参</t>
        </is>
      </c>
      <c r="I134" s="19" t="inlineStr">
        <is>
          <t>data</t>
        </is>
      </c>
      <c r="J134" s="19" t="inlineStr">
        <is>
          <t>items[].studyNo</t>
        </is>
      </c>
      <c r="K134" s="19" t="inlineStr">
        <is>
          <t>string</t>
        </is>
      </c>
      <c r="L134" s="18" t="inlineStr"/>
      <c r="M134" s="19" t="inlineStr">
        <is>
          <t>研究编号</t>
        </is>
      </c>
      <c r="N134" s="19" t="inlineStr">
        <is>
          <t>RA-2026-0101</t>
        </is>
      </c>
      <c r="O134" s="19" t="inlineStr"/>
      <c r="P134" s="15" t="n"/>
    </row>
    <row r="135" ht="31" customHeight="1">
      <c r="A135" s="15" t="n"/>
      <c r="B135" s="15" t="n"/>
      <c r="C135" s="15" t="n"/>
      <c r="D135" s="15" t="n"/>
      <c r="E135" s="15" t="n"/>
      <c r="F135" s="15" t="n"/>
      <c r="G135" s="15" t="n"/>
      <c r="H135" s="18" t="inlineStr">
        <is>
          <t>出参</t>
        </is>
      </c>
      <c r="I135" s="19" t="inlineStr">
        <is>
          <t>data</t>
        </is>
      </c>
      <c r="J135" s="19" t="inlineStr">
        <is>
          <t>items[].detailText</t>
        </is>
      </c>
      <c r="K135" s="19" t="inlineStr">
        <is>
          <t>string</t>
        </is>
      </c>
      <c r="L135" s="18" t="inlineStr"/>
      <c r="M135" s="19" t="inlineStr">
        <is>
          <t>名单每行右侧说明，服务端拼好</t>
        </is>
      </c>
      <c r="N135" s="19" t="inlineStr">
        <is>
          <t>应于 2026-05-12 随访 · 逾期 141 天</t>
        </is>
      </c>
      <c r="O135" s="19" t="inlineStr"/>
      <c r="P135" s="15" t="n"/>
    </row>
    <row r="136" ht="17.5" customHeight="1">
      <c r="A136" s="15" t="n"/>
      <c r="B136" s="15" t="n"/>
      <c r="C136" s="15" t="n"/>
      <c r="D136" s="15" t="n"/>
      <c r="E136" s="15" t="n"/>
      <c r="F136" s="15" t="n"/>
      <c r="G136" s="15" t="n"/>
      <c r="H136" s="18" t="inlineStr">
        <is>
          <t>出参</t>
        </is>
      </c>
      <c r="I136" s="19" t="inlineStr">
        <is>
          <t>data</t>
        </is>
      </c>
      <c r="J136" s="19" t="inlineStr">
        <is>
          <t>items[].das28Prev</t>
        </is>
      </c>
      <c r="K136" s="19" t="inlineStr">
        <is>
          <t>number</t>
        </is>
      </c>
      <c r="L136" s="18" t="inlineStr"/>
      <c r="M136" s="19" t="inlineStr">
        <is>
          <t>activity_rebound：治疗 6 个月时 DAS28</t>
        </is>
      </c>
      <c r="N136" s="19" t="inlineStr">
        <is>
          <t>3.1</t>
        </is>
      </c>
      <c r="O136" s="19" t="inlineStr"/>
      <c r="P136" s="15" t="n"/>
    </row>
    <row r="137" ht="31" customHeight="1">
      <c r="A137" s="15" t="n"/>
      <c r="B137" s="15" t="n"/>
      <c r="C137" s="15" t="n"/>
      <c r="D137" s="15" t="n"/>
      <c r="E137" s="15" t="n"/>
      <c r="F137" s="15" t="n"/>
      <c r="G137" s="15" t="n"/>
      <c r="H137" s="18" t="inlineStr">
        <is>
          <t>出参</t>
        </is>
      </c>
      <c r="I137" s="19" t="inlineStr">
        <is>
          <t>data</t>
        </is>
      </c>
      <c r="J137" s="19" t="inlineStr">
        <is>
          <t>items[].das28Now</t>
        </is>
      </c>
      <c r="K137" s="19" t="inlineStr">
        <is>
          <t>number</t>
        </is>
      </c>
      <c r="L137" s="18" t="inlineStr"/>
      <c r="M137" s="19" t="inlineStr">
        <is>
          <t>activity_rebound / high_activity：最近一次 DAS28</t>
        </is>
      </c>
      <c r="N137" s="19" t="inlineStr">
        <is>
          <t>4.0</t>
        </is>
      </c>
      <c r="O137" s="19" t="inlineStr"/>
      <c r="P137" s="15" t="n"/>
    </row>
    <row r="138" ht="17.5" customHeight="1">
      <c r="A138" s="15" t="n"/>
      <c r="B138" s="15" t="n"/>
      <c r="C138" s="15" t="n"/>
      <c r="D138" s="15" t="n"/>
      <c r="E138" s="15" t="n"/>
      <c r="F138" s="15" t="n"/>
      <c r="G138" s="15" t="n"/>
      <c r="H138" s="18" t="inlineStr">
        <is>
          <t>出参</t>
        </is>
      </c>
      <c r="I138" s="19" t="inlineStr">
        <is>
          <t>data</t>
        </is>
      </c>
      <c r="J138" s="19" t="inlineStr">
        <is>
          <t>items[].dueDate</t>
        </is>
      </c>
      <c r="K138" s="19" t="inlineStr">
        <is>
          <t>date</t>
        </is>
      </c>
      <c r="L138" s="18" t="inlineStr"/>
      <c r="M138" s="19" t="inlineStr">
        <is>
          <t>overdue_90：应随访日期</t>
        </is>
      </c>
      <c r="N138" s="19" t="inlineStr">
        <is>
          <t>2026-05-12</t>
        </is>
      </c>
      <c r="O138" s="19" t="inlineStr"/>
      <c r="P138" s="15" t="n"/>
    </row>
    <row r="139" ht="17.5" customHeight="1">
      <c r="A139" s="15" t="n"/>
      <c r="B139" s="15" t="n"/>
      <c r="C139" s="15" t="n"/>
      <c r="D139" s="15" t="n"/>
      <c r="E139" s="15" t="n"/>
      <c r="F139" s="15" t="n"/>
      <c r="G139" s="15" t="n"/>
      <c r="H139" s="18" t="inlineStr">
        <is>
          <t>出参</t>
        </is>
      </c>
      <c r="I139" s="19" t="inlineStr">
        <is>
          <t>data</t>
        </is>
      </c>
      <c r="J139" s="19" t="inlineStr">
        <is>
          <t>items[].overdueDays</t>
        </is>
      </c>
      <c r="K139" s="19" t="inlineStr">
        <is>
          <t>integer</t>
        </is>
      </c>
      <c r="L139" s="18" t="inlineStr"/>
      <c r="M139" s="19" t="inlineStr">
        <is>
          <t>overdue_90：逾期天数</t>
        </is>
      </c>
      <c r="N139" s="19" t="inlineStr">
        <is>
          <t>141</t>
        </is>
      </c>
      <c r="O139" s="19" t="inlineStr"/>
      <c r="P139" s="15" t="n"/>
    </row>
    <row r="140" ht="17.5" customHeight="1">
      <c r="A140" s="15" t="n"/>
      <c r="B140" s="15" t="n"/>
      <c r="C140" s="15" t="n"/>
      <c r="D140" s="15" t="n"/>
      <c r="E140" s="15" t="n"/>
      <c r="F140" s="15" t="n"/>
      <c r="G140" s="15" t="n"/>
      <c r="H140" s="18" t="inlineStr">
        <is>
          <t>出参</t>
        </is>
      </c>
      <c r="I140" s="19" t="inlineStr">
        <is>
          <t>data</t>
        </is>
      </c>
      <c r="J140" s="19" t="inlineStr">
        <is>
          <t>total</t>
        </is>
      </c>
      <c r="K140" s="19" t="inlineStr">
        <is>
          <t>integer</t>
        </is>
      </c>
      <c r="L140" s="18" t="inlineStr"/>
      <c r="M140" s="19" t="inlineStr">
        <is>
          <t>符合条件的总条数（用于「共 N 条」与分页）</t>
        </is>
      </c>
      <c r="N140" s="19" t="inlineStr">
        <is>
          <t>56</t>
        </is>
      </c>
      <c r="O140" s="19" t="inlineStr"/>
      <c r="P140" s="15" t="n"/>
    </row>
    <row r="141" ht="17.5" customHeight="1">
      <c r="A141" s="15" t="n"/>
      <c r="B141" s="15" t="n"/>
      <c r="C141" s="15" t="n"/>
      <c r="D141" s="15" t="n"/>
      <c r="E141" s="15" t="n"/>
      <c r="F141" s="15" t="n"/>
      <c r="G141" s="15" t="n"/>
      <c r="H141" s="18" t="inlineStr">
        <is>
          <t>出参</t>
        </is>
      </c>
      <c r="I141" s="19" t="inlineStr">
        <is>
          <t>data</t>
        </is>
      </c>
      <c r="J141" s="19" t="inlineStr">
        <is>
          <t>page</t>
        </is>
      </c>
      <c r="K141" s="19" t="inlineStr">
        <is>
          <t>integer</t>
        </is>
      </c>
      <c r="L141" s="18" t="inlineStr"/>
      <c r="M141" s="19" t="inlineStr">
        <is>
          <t>当前页码</t>
        </is>
      </c>
      <c r="N141" s="19" t="inlineStr">
        <is>
          <t>1</t>
        </is>
      </c>
      <c r="O141" s="19" t="inlineStr"/>
      <c r="P141" s="15" t="n"/>
    </row>
    <row r="142" ht="17.5" customHeight="1">
      <c r="A142" s="15" t="n"/>
      <c r="B142" s="15" t="n"/>
      <c r="C142" s="15" t="n"/>
      <c r="D142" s="15" t="n"/>
      <c r="E142" s="15" t="n"/>
      <c r="F142" s="15" t="n"/>
      <c r="G142" s="15" t="n"/>
      <c r="H142" s="18" t="inlineStr">
        <is>
          <t>出参</t>
        </is>
      </c>
      <c r="I142" s="19" t="inlineStr">
        <is>
          <t>data</t>
        </is>
      </c>
      <c r="J142" s="19" t="inlineStr">
        <is>
          <t>size</t>
        </is>
      </c>
      <c r="K142" s="19" t="inlineStr">
        <is>
          <t>integer</t>
        </is>
      </c>
      <c r="L142" s="18" t="inlineStr"/>
      <c r="M142" s="19" t="inlineStr">
        <is>
          <t>每页条数</t>
        </is>
      </c>
      <c r="N142" s="19" t="inlineStr">
        <is>
          <t>8</t>
        </is>
      </c>
      <c r="O142" s="19" t="inlineStr"/>
      <c r="P142" s="15" t="n"/>
    </row>
    <row r="143" ht="44.5" customHeight="1">
      <c r="A143" s="15" t="n"/>
      <c r="B143" s="15" t="n"/>
      <c r="C143" s="15" t="n"/>
      <c r="D143" s="15" t="n"/>
      <c r="E143" s="15" t="n"/>
      <c r="F143" s="15" t="n"/>
      <c r="G143" s="15" t="n"/>
      <c r="H143" s="20" t="inlineStr">
        <is>
          <t>页面口径</t>
        </is>
      </c>
      <c r="I143" s="21" t="inlineStr">
        <is>
          <t>风险提醒</t>
        </is>
      </c>
      <c r="J143" s="21" t="inlineStr">
        <is>
          <t>activity_rebound</t>
        </is>
      </c>
      <c r="K143" s="21" t="inlineStr">
        <is>
          <t>整数</t>
        </is>
      </c>
      <c r="L143" s="20" t="inlineStr"/>
      <c r="M143" s="21" t="inlineStr">
        <is>
          <t>D-21 疾病活动度回升
治疗 6 个月后 DAS28 回升</t>
        </is>
      </c>
      <c r="N143" s="21" t="inlineStr"/>
      <c r="O143" s="21" t="inlineStr">
        <is>
          <t>当前方案起始后第 6 个月（±30 天内最近的一次访视）的 DAS28 记为 das28Prev；最近一次 DAS28 − das28Prev ≥ 0.6</t>
        </is>
      </c>
      <c r="P143" s="15" t="n"/>
    </row>
    <row r="144" ht="31" customHeight="1">
      <c r="A144" s="15" t="n"/>
      <c r="B144" s="15" t="n"/>
      <c r="C144" s="15" t="n"/>
      <c r="D144" s="15" t="n"/>
      <c r="E144" s="15" t="n"/>
      <c r="F144" s="15" t="n"/>
      <c r="G144" s="15" t="n"/>
      <c r="H144" s="20" t="inlineStr">
        <is>
          <t>页面口径</t>
        </is>
      </c>
      <c r="I144" s="21" t="inlineStr">
        <is>
          <t>风险提醒</t>
        </is>
      </c>
      <c r="J144" s="21" t="inlineStr">
        <is>
          <t>high_activity</t>
        </is>
      </c>
      <c r="K144" s="21" t="inlineStr">
        <is>
          <t>整数</t>
        </is>
      </c>
      <c r="L144" s="20" t="inlineStr"/>
      <c r="M144" s="21" t="inlineStr">
        <is>
          <t>D-22 高疾病活动
最近一次 DAS28 &gt; 5.1</t>
        </is>
      </c>
      <c r="N144" s="21" t="inlineStr"/>
      <c r="O144" s="21" t="inlineStr">
        <is>
          <t>同 D-11</t>
        </is>
      </c>
      <c r="P144" s="15" t="n"/>
    </row>
    <row r="145" ht="31" customHeight="1">
      <c r="A145" s="15" t="n"/>
      <c r="B145" s="15" t="n"/>
      <c r="C145" s="15" t="n"/>
      <c r="D145" s="15" t="n"/>
      <c r="E145" s="15" t="n"/>
      <c r="F145" s="15" t="n"/>
      <c r="G145" s="15" t="n"/>
      <c r="H145" s="20" t="inlineStr">
        <is>
          <t>页面口径</t>
        </is>
      </c>
      <c r="I145" s="21" t="inlineStr">
        <is>
          <t>风险提醒</t>
        </is>
      </c>
      <c r="J145" s="21" t="inlineStr">
        <is>
          <t>overdue_90</t>
        </is>
      </c>
      <c r="K145" s="21" t="inlineStr">
        <is>
          <t>整数</t>
        </is>
      </c>
      <c r="L145" s="20" t="inlineStr"/>
      <c r="M145" s="21" t="inlineStr">
        <is>
          <t>D-23 随访逾期超 3 个月
逾期超过 90 天</t>
        </is>
      </c>
      <c r="N145" s="21" t="inlineStr"/>
      <c r="O145" s="21" t="inlineStr">
        <is>
          <t>B-03 days &lt; −90</t>
        </is>
      </c>
      <c r="P145" s="15" t="n"/>
    </row>
    <row r="146" ht="17.5" customHeight="1">
      <c r="A146" s="8" t="inlineStr">
        <is>
          <t>患者管理</t>
        </is>
      </c>
      <c r="B146" s="8" t="inlineStr">
        <is>
          <t>patients.html</t>
        </is>
      </c>
      <c r="C146" s="8" t="inlineStr">
        <is>
          <t>患者列表 + 检索 + 筛选 + 分页 + 顶部汇总</t>
        </is>
      </c>
      <c r="D146" s="9" t="inlineStr">
        <is>
          <t>PT01</t>
        </is>
      </c>
      <c r="E146" s="10" t="inlineStr">
        <is>
          <t>患者列表（列表、模糊查询、筛选同一个接口）</t>
        </is>
      </c>
      <c r="F146" s="11" t="inlineStr">
        <is>
          <t>GET</t>
        </is>
      </c>
      <c r="G146" s="12" t="inlineStr">
        <is>
          <t>/api/v1/patients</t>
        </is>
      </c>
      <c r="H146" s="13" t="inlineStr">
        <is>
          <t>入参</t>
        </is>
      </c>
      <c r="I146" s="14" t="inlineStr">
        <is>
          <t>query</t>
        </is>
      </c>
      <c r="J146" s="14" t="inlineStr">
        <is>
          <t>studyId</t>
        </is>
      </c>
      <c r="K146" s="14" t="inlineStr">
        <is>
          <t>string</t>
        </is>
      </c>
      <c r="L146" s="13" t="inlineStr">
        <is>
          <t>是</t>
        </is>
      </c>
      <c r="M146" s="14" t="inlineStr">
        <is>
          <t>研究库编码；一期固定 RA</t>
        </is>
      </c>
      <c r="N146" s="14" t="inlineStr">
        <is>
          <t>RA</t>
        </is>
      </c>
      <c r="O146" s="14" t="inlineStr"/>
      <c r="P146" s="8" t="inlineStr">
        <is>
          <t>列表与模糊查询是同一个接口，只是参数不同。
「其他病史」弹窗里的病种介绍文字（病程发展简要说明）是静态内容，由前端维护；患者自己的病史数据随列表返回，点开弹窗不再请求。
勾选患者后点「AI智能分析」属于 AI，本文档不含。</t>
        </is>
      </c>
    </row>
    <row r="147" ht="31" customHeight="1">
      <c r="A147" s="15" t="n"/>
      <c r="B147" s="15" t="n"/>
      <c r="C147" s="15" t="n"/>
      <c r="D147" s="15" t="n"/>
      <c r="E147" s="15" t="n"/>
      <c r="F147" s="15" t="n"/>
      <c r="G147" s="15" t="n"/>
      <c r="H147" s="16" t="inlineStr">
        <is>
          <t>入参</t>
        </is>
      </c>
      <c r="I147" s="17" t="inlineStr">
        <is>
          <t>query</t>
        </is>
      </c>
      <c r="J147" s="17" t="inlineStr">
        <is>
          <t>keyword</t>
        </is>
      </c>
      <c r="K147" s="17" t="inlineStr">
        <is>
          <t>string</t>
        </is>
      </c>
      <c r="L147" s="16" t="inlineStr">
        <is>
          <t>否</t>
        </is>
      </c>
      <c r="M147" s="17" t="inlineStr">
        <is>
          <t>模糊查询：姓名 / ID号 / 研究编号，包含匹配，不区分大小写</t>
        </is>
      </c>
      <c r="N147" s="17" t="inlineStr">
        <is>
          <t>林</t>
        </is>
      </c>
      <c r="O147" s="17" t="inlineStr"/>
      <c r="P147" s="15" t="n"/>
    </row>
    <row r="148" ht="31" customHeight="1">
      <c r="A148" s="15" t="n"/>
      <c r="B148" s="15" t="n"/>
      <c r="C148" s="15" t="n"/>
      <c r="D148" s="15" t="n"/>
      <c r="E148" s="15" t="n"/>
      <c r="F148" s="15" t="n"/>
      <c r="G148" s="15" t="n"/>
      <c r="H148" s="16" t="inlineStr">
        <is>
          <t>入参</t>
        </is>
      </c>
      <c r="I148" s="17" t="inlineStr">
        <is>
          <t>query</t>
        </is>
      </c>
      <c r="J148" s="17" t="inlineStr">
        <is>
          <t>followStatus</t>
        </is>
      </c>
      <c r="K148" s="17" t="inlineStr">
        <is>
          <t>enum</t>
        </is>
      </c>
      <c r="L148" s="16" t="inlineStr">
        <is>
          <t>否</t>
        </is>
      </c>
      <c r="M148" s="17" t="inlineStr">
        <is>
          <t>随访状态：active / soon / overdue / pending_first / withdrawn；不传=全部</t>
        </is>
      </c>
      <c r="N148" s="17" t="inlineStr">
        <is>
          <t>soon</t>
        </is>
      </c>
      <c r="O148" s="17" t="inlineStr"/>
      <c r="P148" s="15" t="n"/>
    </row>
    <row r="149" ht="31" customHeight="1">
      <c r="A149" s="15" t="n"/>
      <c r="B149" s="15" t="n"/>
      <c r="C149" s="15" t="n"/>
      <c r="D149" s="15" t="n"/>
      <c r="E149" s="15" t="n"/>
      <c r="F149" s="15" t="n"/>
      <c r="G149" s="15" t="n"/>
      <c r="H149" s="16" t="inlineStr">
        <is>
          <t>入参</t>
        </is>
      </c>
      <c r="I149" s="17" t="inlineStr">
        <is>
          <t>query</t>
        </is>
      </c>
      <c r="J149" s="17" t="inlineStr">
        <is>
          <t>completeness</t>
        </is>
      </c>
      <c r="K149" s="17" t="inlineStr">
        <is>
          <t>enum</t>
        </is>
      </c>
      <c r="L149" s="16" t="inlineStr">
        <is>
          <t>否</t>
        </is>
      </c>
      <c r="M149" s="17" t="inlineStr">
        <is>
          <t>数据完整性：complete 数据完整 / missing 数据缺失；不传=全部</t>
        </is>
      </c>
      <c r="N149" s="17" t="inlineStr">
        <is>
          <t>missing</t>
        </is>
      </c>
      <c r="O149" s="17" t="inlineStr"/>
      <c r="P149" s="15" t="n"/>
    </row>
    <row r="150" ht="31" customHeight="1">
      <c r="A150" s="15" t="n"/>
      <c r="B150" s="15" t="n"/>
      <c r="C150" s="15" t="n"/>
      <c r="D150" s="15" t="n"/>
      <c r="E150" s="15" t="n"/>
      <c r="F150" s="15" t="n"/>
      <c r="G150" s="15" t="n"/>
      <c r="H150" s="16" t="inlineStr">
        <is>
          <t>入参</t>
        </is>
      </c>
      <c r="I150" s="17" t="inlineStr">
        <is>
          <t>query</t>
        </is>
      </c>
      <c r="J150" s="17" t="inlineStr">
        <is>
          <t>sort</t>
        </is>
      </c>
      <c r="K150" s="17" t="inlineStr">
        <is>
          <t>string</t>
        </is>
      </c>
      <c r="L150" s="16" t="inlineStr">
        <is>
          <t>否</t>
        </is>
      </c>
      <c r="M150" s="17" t="inlineStr">
        <is>
          <t>排序，默认 -lastVisitDate（最近随访倒序）；可选 name、studyNo、nextDueDate</t>
        </is>
      </c>
      <c r="N150" s="17" t="inlineStr">
        <is>
          <t>-lastVisitDate</t>
        </is>
      </c>
      <c r="O150" s="17" t="inlineStr"/>
      <c r="P150" s="15" t="n"/>
    </row>
    <row r="151" ht="17.5" customHeight="1">
      <c r="A151" s="15" t="n"/>
      <c r="B151" s="15" t="n"/>
      <c r="C151" s="15" t="n"/>
      <c r="D151" s="15" t="n"/>
      <c r="E151" s="15" t="n"/>
      <c r="F151" s="15" t="n"/>
      <c r="G151" s="15" t="n"/>
      <c r="H151" s="16" t="inlineStr">
        <is>
          <t>入参</t>
        </is>
      </c>
      <c r="I151" s="17" t="inlineStr">
        <is>
          <t>query</t>
        </is>
      </c>
      <c r="J151" s="17" t="inlineStr">
        <is>
          <t>page</t>
        </is>
      </c>
      <c r="K151" s="17" t="inlineStr">
        <is>
          <t>integer</t>
        </is>
      </c>
      <c r="L151" s="16" t="inlineStr">
        <is>
          <t>否</t>
        </is>
      </c>
      <c r="M151" s="17" t="inlineStr">
        <is>
          <t>页码，从 1 开始，默认 1</t>
        </is>
      </c>
      <c r="N151" s="17" t="inlineStr">
        <is>
          <t>1</t>
        </is>
      </c>
      <c r="O151" s="17" t="inlineStr"/>
      <c r="P151" s="15" t="n"/>
    </row>
    <row r="152" ht="31" customHeight="1">
      <c r="A152" s="15" t="n"/>
      <c r="B152" s="15" t="n"/>
      <c r="C152" s="15" t="n"/>
      <c r="D152" s="15" t="n"/>
      <c r="E152" s="15" t="n"/>
      <c r="F152" s="15" t="n"/>
      <c r="G152" s="15" t="n"/>
      <c r="H152" s="16" t="inlineStr">
        <is>
          <t>入参</t>
        </is>
      </c>
      <c r="I152" s="17" t="inlineStr">
        <is>
          <t>query</t>
        </is>
      </c>
      <c r="J152" s="17" t="inlineStr">
        <is>
          <t>size</t>
        </is>
      </c>
      <c r="K152" s="17" t="inlineStr">
        <is>
          <t>integer</t>
        </is>
      </c>
      <c r="L152" s="16" t="inlineStr">
        <is>
          <t>否</t>
        </is>
      </c>
      <c r="M152" s="17" t="inlineStr">
        <is>
          <t>每页条数，默认 20，最大 200；前端下拉 8 / 16 / 32</t>
        </is>
      </c>
      <c r="N152" s="17" t="inlineStr">
        <is>
          <t>8</t>
        </is>
      </c>
      <c r="O152" s="17" t="inlineStr"/>
      <c r="P152" s="15" t="n"/>
    </row>
    <row r="153" ht="31" customHeight="1">
      <c r="A153" s="15" t="n"/>
      <c r="B153" s="15" t="n"/>
      <c r="C153" s="15" t="n"/>
      <c r="D153" s="15" t="n"/>
      <c r="E153" s="15" t="n"/>
      <c r="F153" s="15" t="n"/>
      <c r="G153" s="15" t="n"/>
      <c r="H153" s="18" t="inlineStr">
        <is>
          <t>出参</t>
        </is>
      </c>
      <c r="I153" s="19" t="inlineStr">
        <is>
          <t>data</t>
        </is>
      </c>
      <c r="J153" s="19" t="inlineStr">
        <is>
          <t>summary.totalPatients</t>
        </is>
      </c>
      <c r="K153" s="19" t="inlineStr">
        <is>
          <t>integer</t>
        </is>
      </c>
      <c r="L153" s="18" t="inlineStr"/>
      <c r="M153" s="19" t="inlineStr">
        <is>
          <t>已建档患者总数（不受筛选影响）：「共 N 位患者已建档」</t>
        </is>
      </c>
      <c r="N153" s="19" t="inlineStr">
        <is>
          <t>128</t>
        </is>
      </c>
      <c r="O153" s="19" t="inlineStr"/>
      <c r="P153" s="15" t="n"/>
    </row>
    <row r="154" ht="31" customHeight="1">
      <c r="A154" s="15" t="n"/>
      <c r="B154" s="15" t="n"/>
      <c r="C154" s="15" t="n"/>
      <c r="D154" s="15" t="n"/>
      <c r="E154" s="15" t="n"/>
      <c r="F154" s="15" t="n"/>
      <c r="G154" s="15" t="n"/>
      <c r="H154" s="18" t="inlineStr">
        <is>
          <t>出参</t>
        </is>
      </c>
      <c r="I154" s="19" t="inlineStr">
        <is>
          <t>data</t>
        </is>
      </c>
      <c r="J154" s="19" t="inlineStr">
        <is>
          <t>summary.incompleteCount</t>
        </is>
      </c>
      <c r="K154" s="19" t="inlineStr">
        <is>
          <t>integer</t>
        </is>
      </c>
      <c r="L154" s="18" t="inlineStr"/>
      <c r="M154" s="19" t="inlineStr">
        <is>
          <t>资料待补全人数（不受筛选影响），可点击后按 completeness=missing 筛选</t>
        </is>
      </c>
      <c r="N154" s="19" t="inlineStr">
        <is>
          <t>56</t>
        </is>
      </c>
      <c r="O154" s="19" t="inlineStr"/>
      <c r="P154" s="15" t="n"/>
    </row>
    <row r="155" ht="17.5" customHeight="1">
      <c r="A155" s="15" t="n"/>
      <c r="B155" s="15" t="n"/>
      <c r="C155" s="15" t="n"/>
      <c r="D155" s="15" t="n"/>
      <c r="E155" s="15" t="n"/>
      <c r="F155" s="15" t="n"/>
      <c r="G155" s="15" t="n"/>
      <c r="H155" s="18" t="inlineStr">
        <is>
          <t>出参</t>
        </is>
      </c>
      <c r="I155" s="19" t="inlineStr">
        <is>
          <t>data</t>
        </is>
      </c>
      <c r="J155" s="19" t="inlineStr">
        <is>
          <t>items[].patientId</t>
        </is>
      </c>
      <c r="K155" s="19" t="inlineStr">
        <is>
          <t>string</t>
        </is>
      </c>
      <c r="L155" s="18" t="inlineStr"/>
      <c r="M155" s="19" t="inlineStr">
        <is>
          <t>ID号（患者主键，系统生成，不可修改）</t>
        </is>
      </c>
      <c r="N155" s="19" t="inlineStr">
        <is>
          <t>611991</t>
        </is>
      </c>
      <c r="O155" s="19" t="inlineStr"/>
      <c r="P155" s="15" t="n"/>
    </row>
    <row r="156" ht="17.5" customHeight="1">
      <c r="A156" s="15" t="n"/>
      <c r="B156" s="15" t="n"/>
      <c r="C156" s="15" t="n"/>
      <c r="D156" s="15" t="n"/>
      <c r="E156" s="15" t="n"/>
      <c r="F156" s="15" t="n"/>
      <c r="G156" s="15" t="n"/>
      <c r="H156" s="18" t="inlineStr">
        <is>
          <t>出参</t>
        </is>
      </c>
      <c r="I156" s="19" t="inlineStr">
        <is>
          <t>data</t>
        </is>
      </c>
      <c r="J156" s="19" t="inlineStr">
        <is>
          <t>items[].studyNo</t>
        </is>
      </c>
      <c r="K156" s="19" t="inlineStr">
        <is>
          <t>string</t>
        </is>
      </c>
      <c r="L156" s="18" t="inlineStr"/>
      <c r="M156" s="19" t="inlineStr">
        <is>
          <t>研究编号</t>
        </is>
      </c>
      <c r="N156" s="19" t="inlineStr">
        <is>
          <t>RA-2026-0101</t>
        </is>
      </c>
      <c r="O156" s="19" t="inlineStr"/>
      <c r="P156" s="15" t="n"/>
    </row>
    <row r="157" ht="31" customHeight="1">
      <c r="A157" s="15" t="n"/>
      <c r="B157" s="15" t="n"/>
      <c r="C157" s="15" t="n"/>
      <c r="D157" s="15" t="n"/>
      <c r="E157" s="15" t="n"/>
      <c r="F157" s="15" t="n"/>
      <c r="G157" s="15" t="n"/>
      <c r="H157" s="18" t="inlineStr">
        <is>
          <t>出参</t>
        </is>
      </c>
      <c r="I157" s="19" t="inlineStr">
        <is>
          <t>data</t>
        </is>
      </c>
      <c r="J157" s="19" t="inlineStr">
        <is>
          <t>items[].name</t>
        </is>
      </c>
      <c r="K157" s="19" t="inlineStr">
        <is>
          <t>string</t>
        </is>
      </c>
      <c r="L157" s="18" t="inlineStr"/>
      <c r="M157" s="19" t="inlineStr">
        <is>
          <t>姓名（列表场景按权限返回，默认明文；导出另行脱敏）</t>
        </is>
      </c>
      <c r="N157" s="19" t="inlineStr">
        <is>
          <t>林书豪</t>
        </is>
      </c>
      <c r="O157" s="19" t="inlineStr"/>
      <c r="P157" s="15" t="n"/>
    </row>
    <row r="158" ht="17.5" customHeight="1">
      <c r="A158" s="15" t="n"/>
      <c r="B158" s="15" t="n"/>
      <c r="C158" s="15" t="n"/>
      <c r="D158" s="15" t="n"/>
      <c r="E158" s="15" t="n"/>
      <c r="F158" s="15" t="n"/>
      <c r="G158" s="15" t="n"/>
      <c r="H158" s="18" t="inlineStr">
        <is>
          <t>出参</t>
        </is>
      </c>
      <c r="I158" s="19" t="inlineStr">
        <is>
          <t>data</t>
        </is>
      </c>
      <c r="J158" s="19" t="inlineStr">
        <is>
          <t>items[].sex</t>
        </is>
      </c>
      <c r="K158" s="19" t="inlineStr">
        <is>
          <t>enum</t>
        </is>
      </c>
      <c r="L158" s="18" t="inlineStr"/>
      <c r="M158" s="19" t="inlineStr">
        <is>
          <t>性别：M 男 / F 女</t>
        </is>
      </c>
      <c r="N158" s="19" t="inlineStr">
        <is>
          <t>M</t>
        </is>
      </c>
      <c r="O158" s="19" t="inlineStr"/>
      <c r="P158" s="15" t="n"/>
    </row>
    <row r="159" ht="17.5" customHeight="1">
      <c r="A159" s="15" t="n"/>
      <c r="B159" s="15" t="n"/>
      <c r="C159" s="15" t="n"/>
      <c r="D159" s="15" t="n"/>
      <c r="E159" s="15" t="n"/>
      <c r="F159" s="15" t="n"/>
      <c r="G159" s="15" t="n"/>
      <c r="H159" s="18" t="inlineStr">
        <is>
          <t>出参</t>
        </is>
      </c>
      <c r="I159" s="19" t="inlineStr">
        <is>
          <t>data</t>
        </is>
      </c>
      <c r="J159" s="19" t="inlineStr">
        <is>
          <t>items[].birthYear</t>
        </is>
      </c>
      <c r="K159" s="19" t="inlineStr">
        <is>
          <t>integer</t>
        </is>
      </c>
      <c r="L159" s="18" t="inlineStr"/>
      <c r="M159" s="19" t="inlineStr">
        <is>
          <t>出生年份（由出生日期取年）</t>
        </is>
      </c>
      <c r="N159" s="19" t="inlineStr">
        <is>
          <t>1958</t>
        </is>
      </c>
      <c r="O159" s="19" t="inlineStr"/>
      <c r="P159" s="15" t="n"/>
    </row>
    <row r="160" ht="17.5" customHeight="1">
      <c r="A160" s="15" t="n"/>
      <c r="B160" s="15" t="n"/>
      <c r="C160" s="15" t="n"/>
      <c r="D160" s="15" t="n"/>
      <c r="E160" s="15" t="n"/>
      <c r="F160" s="15" t="n"/>
      <c r="G160" s="15" t="n"/>
      <c r="H160" s="18" t="inlineStr">
        <is>
          <t>出参</t>
        </is>
      </c>
      <c r="I160" s="19" t="inlineStr">
        <is>
          <t>data</t>
        </is>
      </c>
      <c r="J160" s="19" t="inlineStr">
        <is>
          <t>items[].visitCount</t>
        </is>
      </c>
      <c r="K160" s="19" t="inlineStr">
        <is>
          <t>integer</t>
        </is>
      </c>
      <c r="L160" s="18" t="inlineStr"/>
      <c r="M160" s="19" t="inlineStr">
        <is>
          <t>已提交的访视次数（页面「已随访 N 次」）</t>
        </is>
      </c>
      <c r="N160" s="19" t="inlineStr">
        <is>
          <t>6</t>
        </is>
      </c>
      <c r="O160" s="19" t="inlineStr"/>
      <c r="P160" s="15" t="n"/>
    </row>
    <row r="161" ht="17.5" customHeight="1">
      <c r="A161" s="15" t="n"/>
      <c r="B161" s="15" t="n"/>
      <c r="C161" s="15" t="n"/>
      <c r="D161" s="15" t="n"/>
      <c r="E161" s="15" t="n"/>
      <c r="F161" s="15" t="n"/>
      <c r="G161" s="15" t="n"/>
      <c r="H161" s="18" t="inlineStr">
        <is>
          <t>出参</t>
        </is>
      </c>
      <c r="I161" s="19" t="inlineStr">
        <is>
          <t>data</t>
        </is>
      </c>
      <c r="J161" s="19" t="inlineStr">
        <is>
          <t>items[].incomplete</t>
        </is>
      </c>
      <c r="K161" s="19" t="inlineStr">
        <is>
          <t>boolean</t>
        </is>
      </c>
      <c r="L161" s="18" t="inlineStr"/>
      <c r="M161" s="19" t="inlineStr">
        <is>
          <t>是否资料待补全（显示「待补全」标签）</t>
        </is>
      </c>
      <c r="N161" s="19" t="inlineStr">
        <is>
          <t>true</t>
        </is>
      </c>
      <c r="O161" s="19" t="inlineStr"/>
      <c r="P161" s="15" t="n"/>
    </row>
    <row r="162" ht="17.5" customHeight="1">
      <c r="A162" s="15" t="n"/>
      <c r="B162" s="15" t="n"/>
      <c r="C162" s="15" t="n"/>
      <c r="D162" s="15" t="n"/>
      <c r="E162" s="15" t="n"/>
      <c r="F162" s="15" t="n"/>
      <c r="G162" s="15" t="n"/>
      <c r="H162" s="18" t="inlineStr">
        <is>
          <t>出参</t>
        </is>
      </c>
      <c r="I162" s="19" t="inlineStr">
        <is>
          <t>data</t>
        </is>
      </c>
      <c r="J162" s="19" t="inlineStr">
        <is>
          <t>items[].missingItems</t>
        </is>
      </c>
      <c r="K162" s="19" t="inlineStr">
        <is>
          <t>string[]</t>
        </is>
      </c>
      <c r="L162" s="18" t="inlineStr"/>
      <c r="M162" s="19" t="inlineStr">
        <is>
          <t>缺失项文字</t>
        </is>
      </c>
      <c r="N162" s="19" t="inlineStr">
        <is>
          <t>["缺 DAS28 评分"]</t>
        </is>
      </c>
      <c r="O162" s="19" t="inlineStr"/>
      <c r="P162" s="15" t="n"/>
    </row>
    <row r="163" ht="17.5" customHeight="1">
      <c r="A163" s="15" t="n"/>
      <c r="B163" s="15" t="n"/>
      <c r="C163" s="15" t="n"/>
      <c r="D163" s="15" t="n"/>
      <c r="E163" s="15" t="n"/>
      <c r="F163" s="15" t="n"/>
      <c r="G163" s="15" t="n"/>
      <c r="H163" s="18" t="inlineStr">
        <is>
          <t>出参</t>
        </is>
      </c>
      <c r="I163" s="19" t="inlineStr">
        <is>
          <t>data</t>
        </is>
      </c>
      <c r="J163" s="19" t="inlineStr">
        <is>
          <t>items[].followCycle</t>
        </is>
      </c>
      <c r="K163" s="19" t="inlineStr">
        <is>
          <t>integer</t>
        </is>
      </c>
      <c r="L163" s="18" t="inlineStr"/>
      <c r="M163" s="19" t="inlineStr">
        <is>
          <t>随访周期（月）：3 / 6 / 12</t>
        </is>
      </c>
      <c r="N163" s="19" t="inlineStr">
        <is>
          <t>6</t>
        </is>
      </c>
      <c r="O163" s="19" t="inlineStr"/>
      <c r="P163" s="15" t="n"/>
    </row>
    <row r="164" ht="31" customHeight="1">
      <c r="A164" s="15" t="n"/>
      <c r="B164" s="15" t="n"/>
      <c r="C164" s="15" t="n"/>
      <c r="D164" s="15" t="n"/>
      <c r="E164" s="15" t="n"/>
      <c r="F164" s="15" t="n"/>
      <c r="G164" s="15" t="n"/>
      <c r="H164" s="18" t="inlineStr">
        <is>
          <t>出参</t>
        </is>
      </c>
      <c r="I164" s="19" t="inlineStr">
        <is>
          <t>data</t>
        </is>
      </c>
      <c r="J164" s="19" t="inlineStr">
        <is>
          <t>items[].subtype</t>
        </is>
      </c>
      <c r="K164" s="19" t="inlineStr">
        <is>
          <t>string</t>
        </is>
      </c>
      <c r="L164" s="18" t="inlineStr"/>
      <c r="M164" s="19" t="inlineStr">
        <is>
          <t>疾病分型；无则 null，页面显示「分型未提供」（字段来源待确认）</t>
        </is>
      </c>
      <c r="N164" s="19" t="inlineStr">
        <is>
          <t>null</t>
        </is>
      </c>
      <c r="O164" s="19" t="inlineStr"/>
      <c r="P164" s="15" t="n"/>
    </row>
    <row r="165" ht="31" customHeight="1">
      <c r="A165" s="15" t="n"/>
      <c r="B165" s="15" t="n"/>
      <c r="C165" s="15" t="n"/>
      <c r="D165" s="15" t="n"/>
      <c r="E165" s="15" t="n"/>
      <c r="F165" s="15" t="n"/>
      <c r="G165" s="15" t="n"/>
      <c r="H165" s="18" t="inlineStr">
        <is>
          <t>出参</t>
        </is>
      </c>
      <c r="I165" s="19" t="inlineStr">
        <is>
          <t>data</t>
        </is>
      </c>
      <c r="J165" s="19" t="inlineStr">
        <is>
          <t>items[].latestDas28</t>
        </is>
      </c>
      <c r="K165" s="19" t="inlineStr">
        <is>
          <t>number</t>
        </is>
      </c>
      <c r="L165" s="18" t="inlineStr"/>
      <c r="M165" s="19" t="inlineStr">
        <is>
          <t>最近一次 DAS28，1 位小数；无则 null，显示「DAS28 未提供」</t>
        </is>
      </c>
      <c r="N165" s="19" t="inlineStr">
        <is>
          <t>3.4</t>
        </is>
      </c>
      <c r="O165" s="19" t="inlineStr"/>
      <c r="P165" s="15" t="n"/>
    </row>
    <row r="166" ht="17.5" customHeight="1">
      <c r="A166" s="15" t="n"/>
      <c r="B166" s="15" t="n"/>
      <c r="C166" s="15" t="n"/>
      <c r="D166" s="15" t="n"/>
      <c r="E166" s="15" t="n"/>
      <c r="F166" s="15" t="n"/>
      <c r="G166" s="15" t="n"/>
      <c r="H166" s="18" t="inlineStr">
        <is>
          <t>出参</t>
        </is>
      </c>
      <c r="I166" s="19" t="inlineStr">
        <is>
          <t>data</t>
        </is>
      </c>
      <c r="J166" s="19" t="inlineStr">
        <is>
          <t>items[].lastVisitDate</t>
        </is>
      </c>
      <c r="K166" s="19" t="inlineStr">
        <is>
          <t>date</t>
        </is>
      </c>
      <c r="L166" s="18" t="inlineStr"/>
      <c r="M166" s="19" t="inlineStr">
        <is>
          <t>最近随访日期；无则 null，显示「暂无访视」</t>
        </is>
      </c>
      <c r="N166" s="19" t="inlineStr">
        <is>
          <t>2026-09-08</t>
        </is>
      </c>
      <c r="O166" s="19" t="inlineStr"/>
      <c r="P166" s="15" t="n"/>
    </row>
    <row r="167" ht="17.5" customHeight="1">
      <c r="A167" s="15" t="n"/>
      <c r="B167" s="15" t="n"/>
      <c r="C167" s="15" t="n"/>
      <c r="D167" s="15" t="n"/>
      <c r="E167" s="15" t="n"/>
      <c r="F167" s="15" t="n"/>
      <c r="G167" s="15" t="n"/>
      <c r="H167" s="18" t="inlineStr">
        <is>
          <t>出参</t>
        </is>
      </c>
      <c r="I167" s="19" t="inlineStr">
        <is>
          <t>data</t>
        </is>
      </c>
      <c r="J167" s="19" t="inlineStr">
        <is>
          <t>items[].followStatus</t>
        </is>
      </c>
      <c r="K167" s="19" t="inlineStr">
        <is>
          <t>enum</t>
        </is>
      </c>
      <c r="L167" s="18" t="inlineStr"/>
      <c r="M167" s="19" t="inlineStr">
        <is>
          <t>随访状态，见枚举 followStatus</t>
        </is>
      </c>
      <c r="N167" s="19" t="inlineStr">
        <is>
          <t>soon</t>
        </is>
      </c>
      <c r="O167" s="19" t="inlineStr"/>
      <c r="P167" s="15" t="n"/>
    </row>
    <row r="168" ht="17.5" customHeight="1">
      <c r="A168" s="15" t="n"/>
      <c r="B168" s="15" t="n"/>
      <c r="C168" s="15" t="n"/>
      <c r="D168" s="15" t="n"/>
      <c r="E168" s="15" t="n"/>
      <c r="F168" s="15" t="n"/>
      <c r="G168" s="15" t="n"/>
      <c r="H168" s="18" t="inlineStr">
        <is>
          <t>出参</t>
        </is>
      </c>
      <c r="I168" s="19" t="inlineStr">
        <is>
          <t>data</t>
        </is>
      </c>
      <c r="J168" s="19" t="inlineStr">
        <is>
          <t>items[].followStatusLabel</t>
        </is>
      </c>
      <c r="K168" s="19" t="inlineStr">
        <is>
          <t>string</t>
        </is>
      </c>
      <c r="L168" s="18" t="inlineStr"/>
      <c r="M168" s="19" t="inlineStr">
        <is>
          <t>随访状态中文</t>
        </is>
      </c>
      <c r="N168" s="19" t="inlineStr">
        <is>
          <t>近期需随访</t>
        </is>
      </c>
      <c r="O168" s="19" t="inlineStr"/>
      <c r="P168" s="15" t="n"/>
    </row>
    <row r="169" ht="31" customHeight="1">
      <c r="A169" s="15" t="n"/>
      <c r="B169" s="15" t="n"/>
      <c r="C169" s="15" t="n"/>
      <c r="D169" s="15" t="n"/>
      <c r="E169" s="15" t="n"/>
      <c r="F169" s="15" t="n"/>
      <c r="G169" s="15" t="n"/>
      <c r="H169" s="18" t="inlineStr">
        <is>
          <t>出参</t>
        </is>
      </c>
      <c r="I169" s="19" t="inlineStr">
        <is>
          <t>data</t>
        </is>
      </c>
      <c r="J169" s="19" t="inlineStr">
        <is>
          <t>items[].comorbidities[].code</t>
        </is>
      </c>
      <c r="K169" s="19" t="inlineStr">
        <is>
          <t>string</t>
        </is>
      </c>
      <c r="L169" s="18" t="inlineStr"/>
      <c r="M169" s="19" t="inlineStr">
        <is>
          <t>其他病史编码：FM / AS …；空数组时页面显示「无」</t>
        </is>
      </c>
      <c r="N169" s="19" t="inlineStr">
        <is>
          <t>FM</t>
        </is>
      </c>
      <c r="O169" s="19" t="inlineStr"/>
      <c r="P169" s="15" t="n"/>
    </row>
    <row r="170" ht="17.5" customHeight="1">
      <c r="A170" s="15" t="n"/>
      <c r="B170" s="15" t="n"/>
      <c r="C170" s="15" t="n"/>
      <c r="D170" s="15" t="n"/>
      <c r="E170" s="15" t="n"/>
      <c r="F170" s="15" t="n"/>
      <c r="G170" s="15" t="n"/>
      <c r="H170" s="18" t="inlineStr">
        <is>
          <t>出参</t>
        </is>
      </c>
      <c r="I170" s="19" t="inlineStr">
        <is>
          <t>data</t>
        </is>
      </c>
      <c r="J170" s="19" t="inlineStr">
        <is>
          <t>items[].comorbidities[].name</t>
        </is>
      </c>
      <c r="K170" s="19" t="inlineStr">
        <is>
          <t>string</t>
        </is>
      </c>
      <c r="L170" s="18" t="inlineStr"/>
      <c r="M170" s="19" t="inlineStr">
        <is>
          <t>病名</t>
        </is>
      </c>
      <c r="N170" s="19" t="inlineStr">
        <is>
          <t>纤维肌痛</t>
        </is>
      </c>
      <c r="O170" s="19" t="inlineStr"/>
      <c r="P170" s="15" t="n"/>
    </row>
    <row r="171" ht="31" customHeight="1">
      <c r="A171" s="15" t="n"/>
      <c r="B171" s="15" t="n"/>
      <c r="C171" s="15" t="n"/>
      <c r="D171" s="15" t="n"/>
      <c r="E171" s="15" t="n"/>
      <c r="F171" s="15" t="n"/>
      <c r="G171" s="15" t="n"/>
      <c r="H171" s="18" t="inlineStr">
        <is>
          <t>出参</t>
        </is>
      </c>
      <c r="I171" s="19" t="inlineStr">
        <is>
          <t>data</t>
        </is>
      </c>
      <c r="J171" s="19" t="inlineStr">
        <is>
          <t>items[].comorbidities[].sinceYear</t>
        </is>
      </c>
      <c r="K171" s="19" t="inlineStr">
        <is>
          <t>integer</t>
        </is>
      </c>
      <c r="L171" s="18" t="inlineStr"/>
      <c r="M171" s="19" t="inlineStr">
        <is>
          <t>起病年份（弹窗用）</t>
        </is>
      </c>
      <c r="N171" s="19" t="inlineStr">
        <is>
          <t>2019</t>
        </is>
      </c>
      <c r="O171" s="19" t="inlineStr"/>
      <c r="P171" s="15" t="n"/>
    </row>
    <row r="172" ht="17.5" customHeight="1">
      <c r="A172" s="15" t="n"/>
      <c r="B172" s="15" t="n"/>
      <c r="C172" s="15" t="n"/>
      <c r="D172" s="15" t="n"/>
      <c r="E172" s="15" t="n"/>
      <c r="F172" s="15" t="n"/>
      <c r="G172" s="15" t="n"/>
      <c r="H172" s="18" t="inlineStr">
        <is>
          <t>出参</t>
        </is>
      </c>
      <c r="I172" s="19" t="inlineStr">
        <is>
          <t>data</t>
        </is>
      </c>
      <c r="J172" s="19" t="inlineStr">
        <is>
          <t>items[].comorbidities[].status</t>
        </is>
      </c>
      <c r="K172" s="19" t="inlineStr">
        <is>
          <t>string</t>
        </is>
      </c>
      <c r="L172" s="18" t="inlineStr"/>
      <c r="M172" s="19" t="inlineStr">
        <is>
          <t>当前状态（弹窗用）</t>
        </is>
      </c>
      <c r="N172" s="19" t="inlineStr">
        <is>
          <t>症状稳定，间断加重</t>
        </is>
      </c>
      <c r="O172" s="19" t="inlineStr"/>
      <c r="P172" s="15" t="n"/>
    </row>
    <row r="173" ht="31" customHeight="1">
      <c r="A173" s="15" t="n"/>
      <c r="B173" s="15" t="n"/>
      <c r="C173" s="15" t="n"/>
      <c r="D173" s="15" t="n"/>
      <c r="E173" s="15" t="n"/>
      <c r="F173" s="15" t="n"/>
      <c r="G173" s="15" t="n"/>
      <c r="H173" s="18" t="inlineStr">
        <is>
          <t>出参</t>
        </is>
      </c>
      <c r="I173" s="19" t="inlineStr">
        <is>
          <t>data</t>
        </is>
      </c>
      <c r="J173" s="19" t="inlineStr">
        <is>
          <t>items[].comorbidities[].coreItems</t>
        </is>
      </c>
      <c r="K173" s="19" t="inlineStr">
        <is>
          <t>string[]</t>
        </is>
      </c>
      <c r="L173" s="18" t="inlineStr"/>
      <c r="M173" s="19" t="inlineStr">
        <is>
          <t>核心指标（弹窗用）</t>
        </is>
      </c>
      <c r="N173" s="19" t="inlineStr">
        <is>
          <t>["WPI 9 · SSS 7","睡眠障碍、疲劳"]</t>
        </is>
      </c>
      <c r="O173" s="19" t="inlineStr"/>
      <c r="P173" s="15" t="n"/>
    </row>
    <row r="174" ht="31" customHeight="1">
      <c r="A174" s="15" t="n"/>
      <c r="B174" s="15" t="n"/>
      <c r="C174" s="15" t="n"/>
      <c r="D174" s="15" t="n"/>
      <c r="E174" s="15" t="n"/>
      <c r="F174" s="15" t="n"/>
      <c r="G174" s="15" t="n"/>
      <c r="H174" s="18" t="inlineStr">
        <is>
          <t>出参</t>
        </is>
      </c>
      <c r="I174" s="19" t="inlineStr">
        <is>
          <t>data</t>
        </is>
      </c>
      <c r="J174" s="19" t="inlineStr">
        <is>
          <t>items[].comorbidities[].treatment</t>
        </is>
      </c>
      <c r="K174" s="19" t="inlineStr">
        <is>
          <t>string</t>
        </is>
      </c>
      <c r="L174" s="18" t="inlineStr"/>
      <c r="M174" s="19" t="inlineStr">
        <is>
          <t>治疗（弹窗用）</t>
        </is>
      </c>
      <c r="N174" s="19" t="inlineStr">
        <is>
          <t>度洛西汀 60 mg/日 + 有氧运动</t>
        </is>
      </c>
      <c r="O174" s="19" t="inlineStr"/>
      <c r="P174" s="15" t="n"/>
    </row>
    <row r="175" ht="31" customHeight="1">
      <c r="A175" s="15" t="n"/>
      <c r="B175" s="15" t="n"/>
      <c r="C175" s="15" t="n"/>
      <c r="D175" s="15" t="n"/>
      <c r="E175" s="15" t="n"/>
      <c r="F175" s="15" t="n"/>
      <c r="G175" s="15" t="n"/>
      <c r="H175" s="18" t="inlineStr">
        <is>
          <t>出参</t>
        </is>
      </c>
      <c r="I175" s="19" t="inlineStr">
        <is>
          <t>data</t>
        </is>
      </c>
      <c r="J175" s="19" t="inlineStr">
        <is>
          <t>items[].comorbidities[].linkedStudyReady</t>
        </is>
      </c>
      <c r="K175" s="19" t="inlineStr">
        <is>
          <t>boolean</t>
        </is>
      </c>
      <c r="L175" s="18" t="inlineStr"/>
      <c r="M175" s="19" t="inlineStr">
        <is>
          <t>对应病种库是否已接入（决定弹窗能否跳转）</t>
        </is>
      </c>
      <c r="N175" s="19" t="inlineStr">
        <is>
          <t>false</t>
        </is>
      </c>
      <c r="O175" s="19" t="inlineStr"/>
      <c r="P175" s="15" t="n"/>
    </row>
    <row r="176" ht="17.5" customHeight="1">
      <c r="A176" s="15" t="n"/>
      <c r="B176" s="15" t="n"/>
      <c r="C176" s="15" t="n"/>
      <c r="D176" s="15" t="n"/>
      <c r="E176" s="15" t="n"/>
      <c r="F176" s="15" t="n"/>
      <c r="G176" s="15" t="n"/>
      <c r="H176" s="18" t="inlineStr">
        <is>
          <t>出参</t>
        </is>
      </c>
      <c r="I176" s="19" t="inlineStr">
        <is>
          <t>data</t>
        </is>
      </c>
      <c r="J176" s="19" t="inlineStr">
        <is>
          <t>total</t>
        </is>
      </c>
      <c r="K176" s="19" t="inlineStr">
        <is>
          <t>integer</t>
        </is>
      </c>
      <c r="L176" s="18" t="inlineStr"/>
      <c r="M176" s="19" t="inlineStr">
        <is>
          <t>符合条件的总条数（用于「共 N 条」与分页）</t>
        </is>
      </c>
      <c r="N176" s="19" t="inlineStr">
        <is>
          <t>56</t>
        </is>
      </c>
      <c r="O176" s="19" t="inlineStr"/>
      <c r="P176" s="15" t="n"/>
    </row>
    <row r="177" ht="17.5" customHeight="1">
      <c r="A177" s="15" t="n"/>
      <c r="B177" s="15" t="n"/>
      <c r="C177" s="15" t="n"/>
      <c r="D177" s="15" t="n"/>
      <c r="E177" s="15" t="n"/>
      <c r="F177" s="15" t="n"/>
      <c r="G177" s="15" t="n"/>
      <c r="H177" s="18" t="inlineStr">
        <is>
          <t>出参</t>
        </is>
      </c>
      <c r="I177" s="19" t="inlineStr">
        <is>
          <t>data</t>
        </is>
      </c>
      <c r="J177" s="19" t="inlineStr">
        <is>
          <t>page</t>
        </is>
      </c>
      <c r="K177" s="19" t="inlineStr">
        <is>
          <t>integer</t>
        </is>
      </c>
      <c r="L177" s="18" t="inlineStr"/>
      <c r="M177" s="19" t="inlineStr">
        <is>
          <t>当前页码</t>
        </is>
      </c>
      <c r="N177" s="19" t="inlineStr">
        <is>
          <t>1</t>
        </is>
      </c>
      <c r="O177" s="19" t="inlineStr"/>
      <c r="P177" s="15" t="n"/>
    </row>
    <row r="178" ht="17.5" customHeight="1">
      <c r="A178" s="15" t="n"/>
      <c r="B178" s="15" t="n"/>
      <c r="C178" s="15" t="n"/>
      <c r="D178" s="15" t="n"/>
      <c r="E178" s="15" t="n"/>
      <c r="F178" s="15" t="n"/>
      <c r="G178" s="15" t="n"/>
      <c r="H178" s="18" t="inlineStr">
        <is>
          <t>出参</t>
        </is>
      </c>
      <c r="I178" s="19" t="inlineStr">
        <is>
          <t>data</t>
        </is>
      </c>
      <c r="J178" s="19" t="inlineStr">
        <is>
          <t>size</t>
        </is>
      </c>
      <c r="K178" s="19" t="inlineStr">
        <is>
          <t>integer</t>
        </is>
      </c>
      <c r="L178" s="18" t="inlineStr"/>
      <c r="M178" s="19" t="inlineStr">
        <is>
          <t>每页条数</t>
        </is>
      </c>
      <c r="N178" s="19" t="inlineStr">
        <is>
          <t>8</t>
        </is>
      </c>
      <c r="O178" s="19" t="inlineStr"/>
      <c r="P178" s="15" t="n"/>
    </row>
    <row r="179" ht="85" customHeight="1">
      <c r="A179" s="15" t="n"/>
      <c r="B179" s="15" t="n"/>
      <c r="C179" s="15" t="n"/>
      <c r="D179" s="15" t="n"/>
      <c r="E179" s="15" t="n"/>
      <c r="F179" s="15" t="n"/>
      <c r="G179" s="15" t="n"/>
      <c r="H179" s="20" t="inlineStr">
        <is>
          <t>页面口径</t>
        </is>
      </c>
      <c r="I179" s="21" t="inlineStr">
        <is>
          <t>—</t>
        </is>
      </c>
      <c r="J179" s="21" t="inlineStr">
        <is>
          <t>nextFollowup.dueDate / days / status</t>
        </is>
      </c>
      <c r="K179" s="21" t="inlineStr">
        <is>
          <t>整数天</t>
        </is>
      </c>
      <c r="L179" s="20" t="inlineStr"/>
      <c r="M179" s="21" t="inlineStr">
        <is>
          <t>B-03 下次随访日期 / 距今天数 / 随访计划状态
按患者随访周期推算的下一次随访</t>
        </is>
      </c>
      <c r="N179" s="21" t="inlineStr"/>
      <c r="O179" s="21" t="inlineStr">
        <is>
          <t>条件：未脱落 且 至少有 1 次已提交访视。
dueDate = 最近一次已提交访视日期 + followCycle 个自然月（目标月没有该日时取当月最后一天）。
days = dueDate − 今天。
status：days &lt; 0 → overdue；0 ≤ days ≤ 14 → soon；days &gt; 14 → later</t>
        </is>
      </c>
      <c r="P179" s="15" t="n"/>
    </row>
    <row r="180" ht="71.5" customHeight="1">
      <c r="A180" s="15" t="n"/>
      <c r="B180" s="15" t="n"/>
      <c r="C180" s="15" t="n"/>
      <c r="D180" s="15" t="n"/>
      <c r="E180" s="15" t="n"/>
      <c r="F180" s="15" t="n"/>
      <c r="G180" s="15" t="n"/>
      <c r="H180" s="20" t="inlineStr">
        <is>
          <t>页面口径</t>
        </is>
      </c>
      <c r="I180" s="21" t="inlineStr">
        <is>
          <t>—</t>
        </is>
      </c>
      <c r="J180" s="21" t="inlineStr">
        <is>
          <t>followStatus</t>
        </is>
      </c>
      <c r="K180" s="21" t="inlineStr">
        <is>
          <t>枚举</t>
        </is>
      </c>
      <c r="L180" s="20" t="inlineStr"/>
      <c r="M180" s="21" t="inlineStr">
        <is>
          <t>B-04 随访状态（患者）
患者当前随访状态（按优先级判断，命中即止）</t>
        </is>
      </c>
      <c r="N180" s="21" t="inlineStr"/>
      <c r="O180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P180" s="15" t="n"/>
    </row>
    <row r="181" ht="98.5" customHeight="1">
      <c r="A181" s="15" t="n"/>
      <c r="B181" s="15" t="n"/>
      <c r="C181" s="15" t="n"/>
      <c r="D181" s="15" t="n"/>
      <c r="E181" s="15" t="n"/>
      <c r="F181" s="15" t="n"/>
      <c r="G181" s="15" t="n"/>
      <c r="H181" s="20" t="inlineStr">
        <is>
          <t>页面口径</t>
        </is>
      </c>
      <c r="I181" s="21" t="inlineStr">
        <is>
          <t>—</t>
        </is>
      </c>
      <c r="J181" s="21" t="inlineStr">
        <is>
          <t>latestDas28</t>
        </is>
      </c>
      <c r="K181" s="21" t="inlineStr">
        <is>
          <t>1 位小数</t>
        </is>
      </c>
      <c r="L181" s="20" t="inlineStr"/>
      <c r="M181" s="21" t="inlineStr">
        <is>
          <t>B-05 最近一次 DAS28
患者最近一次有 DAS28 结果的访视值</t>
        </is>
      </c>
      <c r="N181" s="21" t="inlineStr"/>
      <c r="O181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mm）。缺任一组成项则不计算（null）。用哪个版本见待确认表。</t>
        </is>
      </c>
      <c r="P181" s="15" t="n"/>
    </row>
    <row r="182" ht="31" customHeight="1">
      <c r="A182" s="15" t="n"/>
      <c r="B182" s="15" t="n"/>
      <c r="C182" s="15" t="n"/>
      <c r="D182" s="15" t="n"/>
      <c r="E182" s="15" t="n"/>
      <c r="F182" s="15" t="n"/>
      <c r="G182" s="15" t="n"/>
      <c r="H182" s="20" t="inlineStr">
        <is>
          <t>页面口径</t>
        </is>
      </c>
      <c r="I182" s="21" t="inlineStr">
        <is>
          <t>—</t>
        </is>
      </c>
      <c r="J182" s="21" t="inlineStr">
        <is>
          <t>incomplete</t>
        </is>
      </c>
      <c r="K182" s="21" t="inlineStr">
        <is>
          <t>布尔</t>
        </is>
      </c>
      <c r="L182" s="20" t="inlineStr"/>
      <c r="M182" s="21" t="inlineStr">
        <is>
          <t>B-07 资料完整 / 资料待补全
患者是否有未关闭的「缺失」类质控问题</t>
        </is>
      </c>
      <c r="N182" s="21" t="inlineStr"/>
      <c r="O182" s="21" t="inlineStr">
        <is>
          <t>incomplete = 存在 type=missing 且 state≠resolved 的质控问题（规则 QC-M01 ~ QC-M04）</t>
        </is>
      </c>
      <c r="P182" s="15" t="n"/>
    </row>
    <row r="183" ht="31" customHeight="1">
      <c r="A183" s="15" t="n"/>
      <c r="B183" s="15" t="n"/>
      <c r="C183" s="15" t="n"/>
      <c r="D183" s="15" t="n"/>
      <c r="E183" s="15" t="n"/>
      <c r="F183" s="15" t="n"/>
      <c r="G183" s="15" t="n"/>
      <c r="H183" s="20" t="inlineStr">
        <is>
          <t>页面口径</t>
        </is>
      </c>
      <c r="I183" s="21" t="inlineStr">
        <is>
          <t>页头</t>
        </is>
      </c>
      <c r="J183" s="21" t="inlineStr">
        <is>
          <t>summary.totalPatients</t>
        </is>
      </c>
      <c r="K183" s="21" t="inlineStr">
        <is>
          <t>整数</t>
        </is>
      </c>
      <c r="L183" s="20" t="inlineStr"/>
      <c r="M183" s="21" t="inlineStr">
        <is>
          <t>PT-01 共 N 位患者已建档
同 P-01</t>
        </is>
      </c>
      <c r="N183" s="21" t="inlineStr"/>
      <c r="O183" s="21" t="inlineStr">
        <is>
          <t>不受筛选影响</t>
        </is>
      </c>
      <c r="P183" s="15" t="n"/>
    </row>
    <row r="184" ht="31" customHeight="1">
      <c r="A184" s="15" t="n"/>
      <c r="B184" s="15" t="n"/>
      <c r="C184" s="15" t="n"/>
      <c r="D184" s="15" t="n"/>
      <c r="E184" s="15" t="n"/>
      <c r="F184" s="15" t="n"/>
      <c r="G184" s="15" t="n"/>
      <c r="H184" s="20" t="inlineStr">
        <is>
          <t>页面口径</t>
        </is>
      </c>
      <c r="I184" s="21" t="inlineStr">
        <is>
          <t>页头</t>
        </is>
      </c>
      <c r="J184" s="21" t="inlineStr">
        <is>
          <t>summary.incompleteCount</t>
        </is>
      </c>
      <c r="K184" s="21" t="inlineStr">
        <is>
          <t>整数</t>
        </is>
      </c>
      <c r="L184" s="20" t="inlineStr"/>
      <c r="M184" s="21" t="inlineStr">
        <is>
          <t>PT-02 N 位资料待补全
incomplete = true 的人数（B-07）</t>
        </is>
      </c>
      <c r="N184" s="21" t="inlineStr"/>
      <c r="O184" s="21" t="inlineStr">
        <is>
          <t>不受筛选影响；点击数字按 completeness=missing 筛选</t>
        </is>
      </c>
      <c r="P184" s="15" t="n"/>
    </row>
    <row r="185" ht="44.5" customHeight="1">
      <c r="A185" s="15" t="n"/>
      <c r="B185" s="15" t="n"/>
      <c r="C185" s="15" t="n"/>
      <c r="D185" s="15" t="n"/>
      <c r="E185" s="15" t="n"/>
      <c r="F185" s="15" t="n"/>
      <c r="G185" s="15" t="n"/>
      <c r="H185" s="20" t="inlineStr">
        <is>
          <t>页面口径</t>
        </is>
      </c>
      <c r="I185" s="21" t="inlineStr">
        <is>
          <t>筛选 · 随访状态</t>
        </is>
      </c>
      <c r="J185" s="21" t="inlineStr">
        <is>
          <t>followStatus</t>
        </is>
      </c>
      <c r="K185" s="21" t="inlineStr">
        <is>
          <t>枚举</t>
        </is>
      </c>
      <c r="L185" s="20" t="inlineStr"/>
      <c r="M185" s="21" t="inlineStr">
        <is>
          <t>PT-03 随访中 / 近期需随访 / 待首次随访 / 已脱落
按 B-04 状态筛选</t>
        </is>
      </c>
      <c r="N185" s="21" t="inlineStr"/>
      <c r="O185" s="21" t="inlineStr">
        <is>
          <t>前端下拉目前没有「随访逾期」选项，建议补上（见待确认表）</t>
        </is>
      </c>
      <c r="P185" s="15" t="n"/>
    </row>
    <row r="186" ht="31" customHeight="1">
      <c r="A186" s="15" t="n"/>
      <c r="B186" s="15" t="n"/>
      <c r="C186" s="15" t="n"/>
      <c r="D186" s="15" t="n"/>
      <c r="E186" s="15" t="n"/>
      <c r="F186" s="15" t="n"/>
      <c r="G186" s="15" t="n"/>
      <c r="H186" s="20" t="inlineStr">
        <is>
          <t>页面口径</t>
        </is>
      </c>
      <c r="I186" s="21" t="inlineStr">
        <is>
          <t>筛选 · 数据完整性</t>
        </is>
      </c>
      <c r="J186" s="21" t="inlineStr">
        <is>
          <t>completeness</t>
        </is>
      </c>
      <c r="K186" s="21" t="inlineStr">
        <is>
          <t>枚举</t>
        </is>
      </c>
      <c r="L186" s="20" t="inlineStr"/>
      <c r="M186" s="21" t="inlineStr">
        <is>
          <t>PT-04 数据完整 / 数据缺失
按 B-07 筛选</t>
        </is>
      </c>
      <c r="N186" s="21" t="inlineStr"/>
      <c r="O186" s="21" t="inlineStr">
        <is>
          <t>complete = incomplete=false；missing = incomplete=true</t>
        </is>
      </c>
      <c r="P186" s="15" t="n"/>
    </row>
    <row r="187" ht="31" customHeight="1">
      <c r="A187" s="15" t="n"/>
      <c r="B187" s="15" t="n"/>
      <c r="C187" s="15" t="n"/>
      <c r="D187" s="15" t="n"/>
      <c r="E187" s="15" t="n"/>
      <c r="F187" s="15" t="n"/>
      <c r="G187" s="15" t="n"/>
      <c r="H187" s="20" t="inlineStr">
        <is>
          <t>页面口径</t>
        </is>
      </c>
      <c r="I187" s="21" t="inlineStr">
        <is>
          <t>列表 · 研究信息</t>
        </is>
      </c>
      <c r="J187" s="21" t="inlineStr">
        <is>
          <t>visitCount / followCycle</t>
        </is>
      </c>
      <c r="K187" s="21" t="inlineStr">
        <is>
          <t>整数</t>
        </is>
      </c>
      <c r="L187" s="20" t="inlineStr"/>
      <c r="M187" s="21" t="inlineStr">
        <is>
          <t>PT-05 已随访 N 次 · 每 N 个月</t>
        </is>
      </c>
      <c r="N187" s="21" t="inlineStr"/>
      <c r="O187" s="21" t="inlineStr">
        <is>
          <t>visitCount = 已提交访视数</t>
        </is>
      </c>
      <c r="P187" s="15" t="n"/>
    </row>
    <row r="188" ht="31" customHeight="1">
      <c r="A188" s="15" t="n"/>
      <c r="B188" s="15" t="n"/>
      <c r="C188" s="15" t="n"/>
      <c r="D188" s="15" t="n"/>
      <c r="E188" s="15" t="n"/>
      <c r="F188" s="15" t="n"/>
      <c r="G188" s="15" t="n"/>
      <c r="H188" s="20" t="inlineStr">
        <is>
          <t>页面口径</t>
        </is>
      </c>
      <c r="I188" s="21" t="inlineStr">
        <is>
          <t>列表 · 疾病资料</t>
        </is>
      </c>
      <c r="J188" s="21" t="inlineStr">
        <is>
          <t>subtype / latestDas28</t>
        </is>
      </c>
      <c r="K188" s="21" t="inlineStr">
        <is>
          <t>—</t>
        </is>
      </c>
      <c r="L188" s="20" t="inlineStr"/>
      <c r="M188" s="21" t="inlineStr">
        <is>
          <t>PT-06 分型 / DAS28</t>
        </is>
      </c>
      <c r="N188" s="21" t="inlineStr"/>
      <c r="O188" s="21" t="inlineStr">
        <is>
          <t>subtype 来源待确认；latestDas28 见 B-05</t>
        </is>
      </c>
      <c r="P188" s="15" t="n"/>
    </row>
    <row r="189" ht="31" customHeight="1">
      <c r="A189" s="15" t="n"/>
      <c r="B189" s="15" t="n"/>
      <c r="C189" s="15" t="n"/>
      <c r="D189" s="15" t="n"/>
      <c r="E189" s="15" t="n"/>
      <c r="F189" s="15" t="n"/>
      <c r="G189" s="15" t="n"/>
      <c r="H189" s="20" t="inlineStr">
        <is>
          <t>页面口径</t>
        </is>
      </c>
      <c r="I189" s="21" t="inlineStr">
        <is>
          <t>列表 · 最近随访</t>
        </is>
      </c>
      <c r="J189" s="21" t="inlineStr">
        <is>
          <t>lastVisitDate / visitCount</t>
        </is>
      </c>
      <c r="K189" s="21" t="inlineStr">
        <is>
          <t>日期</t>
        </is>
      </c>
      <c r="L189" s="20" t="inlineStr"/>
      <c r="M189" s="21" t="inlineStr">
        <is>
          <t>PT-07 日期 / 累计 N 次访视</t>
        </is>
      </c>
      <c r="N189" s="21" t="inlineStr"/>
      <c r="O189" s="21" t="inlineStr">
        <is>
          <t>最近一次已提交访视日期</t>
        </is>
      </c>
      <c r="P189" s="15" t="n"/>
    </row>
    <row r="190" ht="31" customHeight="1">
      <c r="A190" s="15" t="n"/>
      <c r="B190" s="15" t="n"/>
      <c r="C190" s="15" t="n"/>
      <c r="D190" s="15" t="n"/>
      <c r="E190" s="15" t="n"/>
      <c r="F190" s="15" t="n"/>
      <c r="G190" s="15" t="n"/>
      <c r="H190" s="20" t="inlineStr">
        <is>
          <t>页面口径</t>
        </is>
      </c>
      <c r="I190" s="21" t="inlineStr">
        <is>
          <t>列表 · 随访状态</t>
        </is>
      </c>
      <c r="J190" s="21" t="inlineStr">
        <is>
          <t>followStatus / followStatusLabel</t>
        </is>
      </c>
      <c r="K190" s="21" t="inlineStr">
        <is>
          <t>枚举</t>
        </is>
      </c>
      <c r="L190" s="20" t="inlineStr"/>
      <c r="M190" s="21" t="inlineStr">
        <is>
          <t>PT-08 状态标签</t>
        </is>
      </c>
      <c r="N190" s="21" t="inlineStr"/>
      <c r="O190" s="21" t="inlineStr">
        <is>
          <t>见 B-04</t>
        </is>
      </c>
      <c r="P190" s="15" t="n"/>
    </row>
    <row r="191" ht="17.5" customHeight="1">
      <c r="A191" s="8" t="inlineStr">
        <is>
          <t>患者管理</t>
        </is>
      </c>
      <c r="B191" s="8" t="inlineStr">
        <is>
          <t>patient-create.html</t>
        </is>
      </c>
      <c r="C191" s="8" t="inlineStr">
        <is>
          <t>新增患者 · 保存并完成建档</t>
        </is>
      </c>
      <c r="D191" s="9" t="inlineStr">
        <is>
          <t>PT02</t>
        </is>
      </c>
      <c r="E191" s="10" t="inlineStr">
        <is>
          <t>新建患者（可同时录入基线访视）</t>
        </is>
      </c>
      <c r="F191" s="11" t="inlineStr">
        <is>
          <t>POST</t>
        </is>
      </c>
      <c r="G191" s="12" t="inlineStr">
        <is>
          <t>/api/v1/patients</t>
        </is>
      </c>
      <c r="H191" s="13" t="inlineStr">
        <is>
          <t>入参</t>
        </is>
      </c>
      <c r="I191" s="14" t="inlineStr">
        <is>
          <t>body</t>
        </is>
      </c>
      <c r="J191" s="14" t="inlineStr">
        <is>
          <t>studyId</t>
        </is>
      </c>
      <c r="K191" s="14" t="inlineStr">
        <is>
          <t>string</t>
        </is>
      </c>
      <c r="L191" s="13" t="inlineStr">
        <is>
          <t>是</t>
        </is>
      </c>
      <c r="M191" s="14" t="inlineStr">
        <is>
          <t>研究库编码</t>
        </is>
      </c>
      <c r="N191" s="14" t="inlineStr">
        <is>
          <t>RA</t>
        </is>
      </c>
      <c r="O191" s="14" t="inlineStr"/>
      <c r="P191" s="8" t="inlineStr">
        <is>
          <t>服务端：写 patient；有 baselineVisit 时同事务写 visit + crf_record，计算派生指标，跑质控；写审计「新建档案」（及「新增随访」）。
研究中心默认取当前用户所属中心。
页面「暂存草稿」：一期建议存本机浏览器，不调用接口（见待确认表）。
「AI纸质病历拍照导入」整页回填属于 AI 方案，另行讨论；化验单识别见 PT05。</t>
        </is>
      </c>
    </row>
    <row r="192" ht="17.5" customHeight="1">
      <c r="A192" s="15" t="n"/>
      <c r="B192" s="15" t="n"/>
      <c r="C192" s="15" t="n"/>
      <c r="D192" s="15" t="n"/>
      <c r="E192" s="15" t="n"/>
      <c r="F192" s="15" t="n"/>
      <c r="G192" s="15" t="n"/>
      <c r="H192" s="16" t="inlineStr">
        <is>
          <t>入参</t>
        </is>
      </c>
      <c r="I192" s="17" t="inlineStr">
        <is>
          <t>body</t>
        </is>
      </c>
      <c r="J192" s="17" t="inlineStr">
        <is>
          <t>patient.name</t>
        </is>
      </c>
      <c r="K192" s="17" t="inlineStr">
        <is>
          <t>string</t>
        </is>
      </c>
      <c r="L192" s="16" t="inlineStr">
        <is>
          <t>是</t>
        </is>
      </c>
      <c r="M192" s="17" t="inlineStr">
        <is>
          <t>姓名，1–50 字</t>
        </is>
      </c>
      <c r="N192" s="17" t="inlineStr">
        <is>
          <t>林书豪</t>
        </is>
      </c>
      <c r="O192" s="17" t="inlineStr"/>
      <c r="P192" s="15" t="n"/>
    </row>
    <row r="193" ht="17.5" customHeight="1">
      <c r="A193" s="15" t="n"/>
      <c r="B193" s="15" t="n"/>
      <c r="C193" s="15" t="n"/>
      <c r="D193" s="15" t="n"/>
      <c r="E193" s="15" t="n"/>
      <c r="F193" s="15" t="n"/>
      <c r="G193" s="15" t="n"/>
      <c r="H193" s="16" t="inlineStr">
        <is>
          <t>入参</t>
        </is>
      </c>
      <c r="I193" s="17" t="inlineStr">
        <is>
          <t>body</t>
        </is>
      </c>
      <c r="J193" s="17" t="inlineStr">
        <is>
          <t>patient.phone</t>
        </is>
      </c>
      <c r="K193" s="17" t="inlineStr">
        <is>
          <t>string</t>
        </is>
      </c>
      <c r="L193" s="16" t="inlineStr">
        <is>
          <t>否</t>
        </is>
      </c>
      <c r="M193" s="17" t="inlineStr">
        <is>
          <t>手机号，11 位数字</t>
        </is>
      </c>
      <c r="N193" s="17" t="inlineStr">
        <is>
          <t>13810007919</t>
        </is>
      </c>
      <c r="O193" s="17" t="inlineStr"/>
      <c r="P193" s="15" t="n"/>
    </row>
    <row r="194" ht="17.5" customHeight="1">
      <c r="A194" s="15" t="n"/>
      <c r="B194" s="15" t="n"/>
      <c r="C194" s="15" t="n"/>
      <c r="D194" s="15" t="n"/>
      <c r="E194" s="15" t="n"/>
      <c r="F194" s="15" t="n"/>
      <c r="G194" s="15" t="n"/>
      <c r="H194" s="16" t="inlineStr">
        <is>
          <t>入参</t>
        </is>
      </c>
      <c r="I194" s="17" t="inlineStr">
        <is>
          <t>body</t>
        </is>
      </c>
      <c r="J194" s="17" t="inlineStr">
        <is>
          <t>patient.idNumber</t>
        </is>
      </c>
      <c r="K194" s="17" t="inlineStr">
        <is>
          <t>string</t>
        </is>
      </c>
      <c r="L194" s="16" t="inlineStr">
        <is>
          <t>否</t>
        </is>
      </c>
      <c r="M194" s="17" t="inlineStr">
        <is>
          <t>身份证号，18 位，校验位合法；加密存储</t>
        </is>
      </c>
      <c r="N194" s="17" t="inlineStr">
        <is>
          <t>110101195801011000</t>
        </is>
      </c>
      <c r="O194" s="17" t="inlineStr"/>
      <c r="P194" s="15" t="n"/>
    </row>
    <row r="195" ht="31" customHeight="1">
      <c r="A195" s="15" t="n"/>
      <c r="B195" s="15" t="n"/>
      <c r="C195" s="15" t="n"/>
      <c r="D195" s="15" t="n"/>
      <c r="E195" s="15" t="n"/>
      <c r="F195" s="15" t="n"/>
      <c r="G195" s="15" t="n"/>
      <c r="H195" s="16" t="inlineStr">
        <is>
          <t>入参</t>
        </is>
      </c>
      <c r="I195" s="17" t="inlineStr">
        <is>
          <t>body</t>
        </is>
      </c>
      <c r="J195" s="17" t="inlineStr">
        <is>
          <t>patient.studyNo</t>
        </is>
      </c>
      <c r="K195" s="17" t="inlineStr">
        <is>
          <t>string</t>
        </is>
      </c>
      <c r="L195" s="16" t="inlineStr">
        <is>
          <t>否</t>
        </is>
      </c>
      <c r="M195" s="17" t="inlineStr">
        <is>
          <t>研究编号；不传则自动生成 RA-{年}-{4 位流水}；传入须唯一</t>
        </is>
      </c>
      <c r="N195" s="17" t="inlineStr">
        <is>
          <t>RA-2026-0101</t>
        </is>
      </c>
      <c r="O195" s="17" t="inlineStr"/>
      <c r="P195" s="15" t="n"/>
    </row>
    <row r="196" ht="31" customHeight="1">
      <c r="A196" s="15" t="n"/>
      <c r="B196" s="15" t="n"/>
      <c r="C196" s="15" t="n"/>
      <c r="D196" s="15" t="n"/>
      <c r="E196" s="15" t="n"/>
      <c r="F196" s="15" t="n"/>
      <c r="G196" s="15" t="n"/>
      <c r="H196" s="16" t="inlineStr">
        <is>
          <t>入参</t>
        </is>
      </c>
      <c r="I196" s="17" t="inlineStr">
        <is>
          <t>body</t>
        </is>
      </c>
      <c r="J196" s="17" t="inlineStr">
        <is>
          <t>patient.patientId</t>
        </is>
      </c>
      <c r="K196" s="17" t="inlineStr">
        <is>
          <t>string</t>
        </is>
      </c>
      <c r="L196" s="16" t="inlineStr">
        <is>
          <t>否</t>
        </is>
      </c>
      <c r="M196" s="17" t="inlineStr">
        <is>
          <t>ID号；不传则自动生成；传入须唯一，重复返回 42201</t>
        </is>
      </c>
      <c r="N196" s="17" t="inlineStr">
        <is>
          <t>611991</t>
        </is>
      </c>
      <c r="O196" s="17" t="inlineStr"/>
      <c r="P196" s="15" t="n"/>
    </row>
    <row r="197" ht="17.5" customHeight="1">
      <c r="A197" s="15" t="n"/>
      <c r="B197" s="15" t="n"/>
      <c r="C197" s="15" t="n"/>
      <c r="D197" s="15" t="n"/>
      <c r="E197" s="15" t="n"/>
      <c r="F197" s="15" t="n"/>
      <c r="G197" s="15" t="n"/>
      <c r="H197" s="16" t="inlineStr">
        <is>
          <t>入参</t>
        </is>
      </c>
      <c r="I197" s="17" t="inlineStr">
        <is>
          <t>body</t>
        </is>
      </c>
      <c r="J197" s="17" t="inlineStr">
        <is>
          <t>patient.ethnicity</t>
        </is>
      </c>
      <c r="K197" s="17" t="inlineStr">
        <is>
          <t>string</t>
        </is>
      </c>
      <c r="L197" s="16" t="inlineStr">
        <is>
          <t>否</t>
        </is>
      </c>
      <c r="M197" s="17" t="inlineStr">
        <is>
          <t>民族</t>
        </is>
      </c>
      <c r="N197" s="17" t="inlineStr">
        <is>
          <t>汉族</t>
        </is>
      </c>
      <c r="O197" s="17" t="inlineStr"/>
      <c r="P197" s="15" t="n"/>
    </row>
    <row r="198" ht="17.5" customHeight="1">
      <c r="A198" s="15" t="n"/>
      <c r="B198" s="15" t="n"/>
      <c r="C198" s="15" t="n"/>
      <c r="D198" s="15" t="n"/>
      <c r="E198" s="15" t="n"/>
      <c r="F198" s="15" t="n"/>
      <c r="G198" s="15" t="n"/>
      <c r="H198" s="16" t="inlineStr">
        <is>
          <t>入参</t>
        </is>
      </c>
      <c r="I198" s="17" t="inlineStr">
        <is>
          <t>body</t>
        </is>
      </c>
      <c r="J198" s="17" t="inlineStr">
        <is>
          <t>patient.sex</t>
        </is>
      </c>
      <c r="K198" s="17" t="inlineStr">
        <is>
          <t>enum</t>
        </is>
      </c>
      <c r="L198" s="16" t="inlineStr">
        <is>
          <t>否</t>
        </is>
      </c>
      <c r="M198" s="17" t="inlineStr">
        <is>
          <t>M / F</t>
        </is>
      </c>
      <c r="N198" s="17" t="inlineStr">
        <is>
          <t>M</t>
        </is>
      </c>
      <c r="O198" s="17" t="inlineStr"/>
      <c r="P198" s="15" t="n"/>
    </row>
    <row r="199" ht="17.5" customHeight="1">
      <c r="A199" s="15" t="n"/>
      <c r="B199" s="15" t="n"/>
      <c r="C199" s="15" t="n"/>
      <c r="D199" s="15" t="n"/>
      <c r="E199" s="15" t="n"/>
      <c r="F199" s="15" t="n"/>
      <c r="G199" s="15" t="n"/>
      <c r="H199" s="16" t="inlineStr">
        <is>
          <t>入参</t>
        </is>
      </c>
      <c r="I199" s="17" t="inlineStr">
        <is>
          <t>body</t>
        </is>
      </c>
      <c r="J199" s="17" t="inlineStr">
        <is>
          <t>patient.birthDate</t>
        </is>
      </c>
      <c r="K199" s="17" t="inlineStr">
        <is>
          <t>date</t>
        </is>
      </c>
      <c r="L199" s="16" t="inlineStr">
        <is>
          <t>否</t>
        </is>
      </c>
      <c r="M199" s="17" t="inlineStr">
        <is>
          <t>出生日期 YYYY-MM-DD</t>
        </is>
      </c>
      <c r="N199" s="17" t="inlineStr">
        <is>
          <t>1958-01-01</t>
        </is>
      </c>
      <c r="O199" s="17" t="inlineStr"/>
      <c r="P199" s="15" t="n"/>
    </row>
    <row r="200" ht="17.5" customHeight="1">
      <c r="A200" s="15" t="n"/>
      <c r="B200" s="15" t="n"/>
      <c r="C200" s="15" t="n"/>
      <c r="D200" s="15" t="n"/>
      <c r="E200" s="15" t="n"/>
      <c r="F200" s="15" t="n"/>
      <c r="G200" s="15" t="n"/>
      <c r="H200" s="16" t="inlineStr">
        <is>
          <t>入参</t>
        </is>
      </c>
      <c r="I200" s="17" t="inlineStr">
        <is>
          <t>body</t>
        </is>
      </c>
      <c r="J200" s="17" t="inlineStr">
        <is>
          <t>patient.maritalStatus</t>
        </is>
      </c>
      <c r="K200" s="17" t="inlineStr">
        <is>
          <t>enum</t>
        </is>
      </c>
      <c r="L200" s="16" t="inlineStr">
        <is>
          <t>否</t>
        </is>
      </c>
      <c r="M200" s="17" t="inlineStr">
        <is>
          <t>见枚举 maritalStatus</t>
        </is>
      </c>
      <c r="N200" s="17" t="inlineStr">
        <is>
          <t>married</t>
        </is>
      </c>
      <c r="O200" s="17" t="inlineStr"/>
      <c r="P200" s="15" t="n"/>
    </row>
    <row r="201" ht="17.5" customHeight="1">
      <c r="A201" s="15" t="n"/>
      <c r="B201" s="15" t="n"/>
      <c r="C201" s="15" t="n"/>
      <c r="D201" s="15" t="n"/>
      <c r="E201" s="15" t="n"/>
      <c r="F201" s="15" t="n"/>
      <c r="G201" s="15" t="n"/>
      <c r="H201" s="16" t="inlineStr">
        <is>
          <t>入参</t>
        </is>
      </c>
      <c r="I201" s="17" t="inlineStr">
        <is>
          <t>body</t>
        </is>
      </c>
      <c r="J201" s="17" t="inlineStr">
        <is>
          <t>patient.heightCm</t>
        </is>
      </c>
      <c r="K201" s="17" t="inlineStr">
        <is>
          <t>number</t>
        </is>
      </c>
      <c r="L201" s="16" t="inlineStr">
        <is>
          <t>否</t>
        </is>
      </c>
      <c r="M201" s="17" t="inlineStr">
        <is>
          <t>身高 cm，1 位小数，50–250</t>
        </is>
      </c>
      <c r="N201" s="17" t="inlineStr">
        <is>
          <t>172.0</t>
        </is>
      </c>
      <c r="O201" s="17" t="inlineStr"/>
      <c r="P201" s="15" t="n"/>
    </row>
    <row r="202" ht="17.5" customHeight="1">
      <c r="A202" s="15" t="n"/>
      <c r="B202" s="15" t="n"/>
      <c r="C202" s="15" t="n"/>
      <c r="D202" s="15" t="n"/>
      <c r="E202" s="15" t="n"/>
      <c r="F202" s="15" t="n"/>
      <c r="G202" s="15" t="n"/>
      <c r="H202" s="16" t="inlineStr">
        <is>
          <t>入参</t>
        </is>
      </c>
      <c r="I202" s="17" t="inlineStr">
        <is>
          <t>body</t>
        </is>
      </c>
      <c r="J202" s="17" t="inlineStr">
        <is>
          <t>patient.weightKg</t>
        </is>
      </c>
      <c r="K202" s="17" t="inlineStr">
        <is>
          <t>number</t>
        </is>
      </c>
      <c r="L202" s="16" t="inlineStr">
        <is>
          <t>否</t>
        </is>
      </c>
      <c r="M202" s="17" t="inlineStr">
        <is>
          <t>体重 kg，1 位小数，20–250</t>
        </is>
      </c>
      <c r="N202" s="17" t="inlineStr">
        <is>
          <t>65.5</t>
        </is>
      </c>
      <c r="O202" s="17" t="inlineStr"/>
      <c r="P202" s="15" t="n"/>
    </row>
    <row r="203" ht="17.5" customHeight="1">
      <c r="A203" s="15" t="n"/>
      <c r="B203" s="15" t="n"/>
      <c r="C203" s="15" t="n"/>
      <c r="D203" s="15" t="n"/>
      <c r="E203" s="15" t="n"/>
      <c r="F203" s="15" t="n"/>
      <c r="G203" s="15" t="n"/>
      <c r="H203" s="16" t="inlineStr">
        <is>
          <t>入参</t>
        </is>
      </c>
      <c r="I203" s="17" t="inlineStr">
        <is>
          <t>body</t>
        </is>
      </c>
      <c r="J203" s="17" t="inlineStr">
        <is>
          <t>patient.followStartDate</t>
        </is>
      </c>
      <c r="K203" s="17" t="inlineStr">
        <is>
          <t>date</t>
        </is>
      </c>
      <c r="L203" s="16" t="inlineStr">
        <is>
          <t>否</t>
        </is>
      </c>
      <c r="M203" s="17" t="inlineStr">
        <is>
          <t>随访观察起始；不传取基线访视日期</t>
        </is>
      </c>
      <c r="N203" s="17" t="inlineStr">
        <is>
          <t>2026-01-01</t>
        </is>
      </c>
      <c r="O203" s="17" t="inlineStr"/>
      <c r="P203" s="15" t="n"/>
    </row>
    <row r="204" ht="17.5" customHeight="1">
      <c r="A204" s="15" t="n"/>
      <c r="B204" s="15" t="n"/>
      <c r="C204" s="15" t="n"/>
      <c r="D204" s="15" t="n"/>
      <c r="E204" s="15" t="n"/>
      <c r="F204" s="15" t="n"/>
      <c r="G204" s="15" t="n"/>
      <c r="H204" s="16" t="inlineStr">
        <is>
          <t>入参</t>
        </is>
      </c>
      <c r="I204" s="17" t="inlineStr">
        <is>
          <t>body</t>
        </is>
      </c>
      <c r="J204" s="17" t="inlineStr">
        <is>
          <t>patient.followCycle</t>
        </is>
      </c>
      <c r="K204" s="17" t="inlineStr">
        <is>
          <t>integer</t>
        </is>
      </c>
      <c r="L204" s="16" t="inlineStr">
        <is>
          <t>是</t>
        </is>
      </c>
      <c r="M204" s="17" t="inlineStr">
        <is>
          <t>随访周期（月）：3 / 6 / 12，默认 6</t>
        </is>
      </c>
      <c r="N204" s="17" t="inlineStr">
        <is>
          <t>6</t>
        </is>
      </c>
      <c r="O204" s="17" t="inlineStr"/>
      <c r="P204" s="15" t="n"/>
    </row>
    <row r="205" ht="31" customHeight="1">
      <c r="A205" s="15" t="n"/>
      <c r="B205" s="15" t="n"/>
      <c r="C205" s="15" t="n"/>
      <c r="D205" s="15" t="n"/>
      <c r="E205" s="15" t="n"/>
      <c r="F205" s="15" t="n"/>
      <c r="G205" s="15" t="n"/>
      <c r="H205" s="16" t="inlineStr">
        <is>
          <t>入参</t>
        </is>
      </c>
      <c r="I205" s="17" t="inlineStr">
        <is>
          <t>body</t>
        </is>
      </c>
      <c r="J205" s="17" t="inlineStr">
        <is>
          <t>patient.comorbidities</t>
        </is>
      </c>
      <c r="K205" s="17" t="inlineStr">
        <is>
          <t>array</t>
        </is>
      </c>
      <c r="L205" s="16" t="inlineStr">
        <is>
          <t>否</t>
        </is>
      </c>
      <c r="M205" s="17" t="inlineStr">
        <is>
          <t>其他病史，结构同 PT01 comorbidities（不含 name）</t>
        </is>
      </c>
      <c r="N205" s="17" t="inlineStr">
        <is>
          <t>[]</t>
        </is>
      </c>
      <c r="O205" s="17" t="inlineStr"/>
      <c r="P205" s="15" t="n"/>
    </row>
    <row r="206" ht="31" customHeight="1">
      <c r="A206" s="15" t="n"/>
      <c r="B206" s="15" t="n"/>
      <c r="C206" s="15" t="n"/>
      <c r="D206" s="15" t="n"/>
      <c r="E206" s="15" t="n"/>
      <c r="F206" s="15" t="n"/>
      <c r="G206" s="15" t="n"/>
      <c r="H206" s="16" t="inlineStr">
        <is>
          <t>入参</t>
        </is>
      </c>
      <c r="I206" s="17" t="inlineStr">
        <is>
          <t>body</t>
        </is>
      </c>
      <c r="J206" s="17" t="inlineStr">
        <is>
          <t>patient.comorbidityConfirmedNone</t>
        </is>
      </c>
      <c r="K206" s="17" t="inlineStr">
        <is>
          <t>boolean</t>
        </is>
      </c>
      <c r="L206" s="16" t="inlineStr">
        <is>
          <t>否</t>
        </is>
      </c>
      <c r="M206" s="17" t="inlineStr">
        <is>
          <t>已确认无常见相关疾病（用于质控规则 QC-M03）</t>
        </is>
      </c>
      <c r="N206" s="17" t="inlineStr">
        <is>
          <t>false</t>
        </is>
      </c>
      <c r="O206" s="17" t="inlineStr"/>
      <c r="P206" s="15" t="n"/>
    </row>
    <row r="207" ht="31" customHeight="1">
      <c r="A207" s="15" t="n"/>
      <c r="B207" s="15" t="n"/>
      <c r="C207" s="15" t="n"/>
      <c r="D207" s="15" t="n"/>
      <c r="E207" s="15" t="n"/>
      <c r="F207" s="15" t="n"/>
      <c r="G207" s="15" t="n"/>
      <c r="H207" s="16" t="inlineStr">
        <is>
          <t>入参</t>
        </is>
      </c>
      <c r="I207" s="17" t="inlineStr">
        <is>
          <t>body</t>
        </is>
      </c>
      <c r="J207" s="17" t="inlineStr">
        <is>
          <t>baselineVisit</t>
        </is>
      </c>
      <c r="K207" s="17" t="inlineStr">
        <is>
          <t>object</t>
        </is>
      </c>
      <c r="L207" s="16" t="inlineStr">
        <is>
          <t>否</t>
        </is>
      </c>
      <c r="M207" s="17" t="inlineStr">
        <is>
          <t>录入了病例模块时才传；结构同 V02 的 body（不含 patientId）</t>
        </is>
      </c>
      <c r="N207" s="17" t="inlineStr"/>
      <c r="O207" s="17" t="inlineStr"/>
      <c r="P207" s="15" t="n"/>
    </row>
    <row r="208" ht="17.5" customHeight="1">
      <c r="A208" s="15" t="n"/>
      <c r="B208" s="15" t="n"/>
      <c r="C208" s="15" t="n"/>
      <c r="D208" s="15" t="n"/>
      <c r="E208" s="15" t="n"/>
      <c r="F208" s="15" t="n"/>
      <c r="G208" s="15" t="n"/>
      <c r="H208" s="16" t="inlineStr">
        <is>
          <t>入参</t>
        </is>
      </c>
      <c r="I208" s="17" t="inlineStr">
        <is>
          <t>body</t>
        </is>
      </c>
      <c r="J208" s="17" t="inlineStr">
        <is>
          <t>baselineVisit.action</t>
        </is>
      </c>
      <c r="K208" s="17" t="inlineStr">
        <is>
          <t>enum</t>
        </is>
      </c>
      <c r="L208" s="16" t="inlineStr">
        <is>
          <t>否</t>
        </is>
      </c>
      <c r="M208" s="17" t="inlineStr">
        <is>
          <t>draft 暂存 / submit 提交</t>
        </is>
      </c>
      <c r="N208" s="17" t="inlineStr">
        <is>
          <t>submit</t>
        </is>
      </c>
      <c r="O208" s="17" t="inlineStr"/>
      <c r="P208" s="15" t="n"/>
    </row>
    <row r="209" ht="17.5" customHeight="1">
      <c r="A209" s="15" t="n"/>
      <c r="B209" s="15" t="n"/>
      <c r="C209" s="15" t="n"/>
      <c r="D209" s="15" t="n"/>
      <c r="E209" s="15" t="n"/>
      <c r="F209" s="15" t="n"/>
      <c r="G209" s="15" t="n"/>
      <c r="H209" s="18" t="inlineStr">
        <is>
          <t>出参</t>
        </is>
      </c>
      <c r="I209" s="19" t="inlineStr">
        <is>
          <t>data</t>
        </is>
      </c>
      <c r="J209" s="19" t="inlineStr">
        <is>
          <t>patientId</t>
        </is>
      </c>
      <c r="K209" s="19" t="inlineStr">
        <is>
          <t>string</t>
        </is>
      </c>
      <c r="L209" s="18" t="inlineStr"/>
      <c r="M209" s="19" t="inlineStr">
        <is>
          <t>ID号</t>
        </is>
      </c>
      <c r="N209" s="19" t="inlineStr">
        <is>
          <t>611991</t>
        </is>
      </c>
      <c r="O209" s="19" t="inlineStr"/>
      <c r="P209" s="15" t="n"/>
    </row>
    <row r="210" ht="17.5" customHeight="1">
      <c r="A210" s="15" t="n"/>
      <c r="B210" s="15" t="n"/>
      <c r="C210" s="15" t="n"/>
      <c r="D210" s="15" t="n"/>
      <c r="E210" s="15" t="n"/>
      <c r="F210" s="15" t="n"/>
      <c r="G210" s="15" t="n"/>
      <c r="H210" s="18" t="inlineStr">
        <is>
          <t>出参</t>
        </is>
      </c>
      <c r="I210" s="19" t="inlineStr">
        <is>
          <t>data</t>
        </is>
      </c>
      <c r="J210" s="19" t="inlineStr">
        <is>
          <t>studyNo</t>
        </is>
      </c>
      <c r="K210" s="19" t="inlineStr">
        <is>
          <t>string</t>
        </is>
      </c>
      <c r="L210" s="18" t="inlineStr"/>
      <c r="M210" s="19" t="inlineStr">
        <is>
          <t>研究编号</t>
        </is>
      </c>
      <c r="N210" s="19" t="inlineStr">
        <is>
          <t>RA-2026-0101</t>
        </is>
      </c>
      <c r="O210" s="19" t="inlineStr"/>
      <c r="P210" s="15" t="n"/>
    </row>
    <row r="211" ht="17.5" customHeight="1">
      <c r="A211" s="15" t="n"/>
      <c r="B211" s="15" t="n"/>
      <c r="C211" s="15" t="n"/>
      <c r="D211" s="15" t="n"/>
      <c r="E211" s="15" t="n"/>
      <c r="F211" s="15" t="n"/>
      <c r="G211" s="15" t="n"/>
      <c r="H211" s="18" t="inlineStr">
        <is>
          <t>出参</t>
        </is>
      </c>
      <c r="I211" s="19" t="inlineStr">
        <is>
          <t>data</t>
        </is>
      </c>
      <c r="J211" s="19" t="inlineStr">
        <is>
          <t>visitId</t>
        </is>
      </c>
      <c r="K211" s="19" t="inlineStr">
        <is>
          <t>string</t>
        </is>
      </c>
      <c r="L211" s="18" t="inlineStr"/>
      <c r="M211" s="19" t="inlineStr">
        <is>
          <t>创建了基线访视时返回</t>
        </is>
      </c>
      <c r="N211" s="19" t="inlineStr">
        <is>
          <t>v_20260101_001</t>
        </is>
      </c>
      <c r="O211" s="19" t="inlineStr"/>
      <c r="P211" s="15" t="n"/>
    </row>
    <row r="212" ht="17.5" customHeight="1">
      <c r="A212" s="15" t="n"/>
      <c r="B212" s="15" t="n"/>
      <c r="C212" s="15" t="n"/>
      <c r="D212" s="15" t="n"/>
      <c r="E212" s="15" t="n"/>
      <c r="F212" s="15" t="n"/>
      <c r="G212" s="15" t="n"/>
      <c r="H212" s="18" t="inlineStr">
        <is>
          <t>出参</t>
        </is>
      </c>
      <c r="I212" s="19" t="inlineStr">
        <is>
          <t>data</t>
        </is>
      </c>
      <c r="J212" s="19" t="inlineStr">
        <is>
          <t>qcIssues[]</t>
        </is>
      </c>
      <c r="K212" s="19" t="inlineStr">
        <is>
          <t>array</t>
        </is>
      </c>
      <c r="L212" s="18" t="inlineStr"/>
      <c r="M212" s="19" t="inlineStr">
        <is>
          <t>提交后新产生的质控问题，结构同 Q01 items</t>
        </is>
      </c>
      <c r="N212" s="19" t="inlineStr"/>
      <c r="O212" s="19" t="inlineStr"/>
      <c r="P212" s="15" t="n"/>
    </row>
    <row r="213" ht="20.16666666666667" customHeight="1">
      <c r="A213" s="8" t="inlineStr">
        <is>
          <t>患者管理</t>
        </is>
      </c>
      <c r="B213" s="8" t="inlineStr">
        <is>
          <t>patients.html</t>
        </is>
      </c>
      <c r="C213" s="8" t="inlineStr">
        <is>
          <t>数据导出按钮</t>
        </is>
      </c>
      <c r="D213" s="9" t="inlineStr">
        <is>
          <t>PT03</t>
        </is>
      </c>
      <c r="E213" s="10" t="inlineStr">
        <is>
          <t>数据导出</t>
        </is>
      </c>
      <c r="F213" s="11" t="inlineStr">
        <is>
          <t>GET</t>
        </is>
      </c>
      <c r="G213" s="12" t="inlineStr">
        <is>
          <t>/api/v1/patients/export</t>
        </is>
      </c>
      <c r="H213" s="13" t="inlineStr">
        <is>
          <t>入参</t>
        </is>
      </c>
      <c r="I213" s="14" t="inlineStr">
        <is>
          <t>query</t>
        </is>
      </c>
      <c r="J213" s="14" t="inlineStr">
        <is>
          <t>studyId</t>
        </is>
      </c>
      <c r="K213" s="14" t="inlineStr">
        <is>
          <t>string</t>
        </is>
      </c>
      <c r="L213" s="13" t="inlineStr">
        <is>
          <t>是</t>
        </is>
      </c>
      <c r="M213" s="14" t="inlineStr">
        <is>
          <t>研究库编码；一期固定 RA</t>
        </is>
      </c>
      <c r="N213" s="14" t="inlineStr">
        <is>
          <t>RA</t>
        </is>
      </c>
      <c r="O213" s="14" t="inlineStr"/>
      <c r="P213" s="8" t="inlineStr">
        <is>
          <t>导出格式要求（给 SPSS / Stata 用）：
1) 变量名：字母开头，仅字母/数字/下划线，≤32 字符；由 CRF 字段编码转换，如 LAB.crp → lab_crp。
2) 单选：导出整数码 + 值标签（1=男 2=女），整数码在 CRF 字典中固定。
3) 多选：拆成每个选项一列 0/1，如 trig_fatigue。
4) 数值列只放纯数字，单位写进变量标签。
5) 缺失分原因：未查 -99 / 不适用 -88 / 不详 -77；sav 设为用户缺失值，dta 用 .a/.b/.c。
6) 日期：sav/dta 为原生日期类型；另附年龄、病程（月）、距基线天数。
7) 默认只含研究编号和访视序号，不含姓名、身份证号、手机号。
8) 每次附 codebook.xlsx：变量名、中文标签、类型、单位、值标签、缺失码、CRF 版本。
9) patient_wide 注意 Stata BE 版上限 2048 个变量。
实现：Python pyreadstat 写 sav/dta。一期同步返回；超过 5000 行改为异步任务（预留）。
写审计「数据导出」（含筛选条件与行数）。</t>
        </is>
      </c>
    </row>
    <row r="214" ht="33.66666666666666" customHeight="1">
      <c r="A214" s="15" t="n"/>
      <c r="B214" s="15" t="n"/>
      <c r="C214" s="15" t="n"/>
      <c r="D214" s="15" t="n"/>
      <c r="E214" s="15" t="n"/>
      <c r="F214" s="15" t="n"/>
      <c r="G214" s="15" t="n"/>
      <c r="H214" s="16" t="inlineStr">
        <is>
          <t>入参</t>
        </is>
      </c>
      <c r="I214" s="17" t="inlineStr">
        <is>
          <t>query</t>
        </is>
      </c>
      <c r="J214" s="17" t="inlineStr">
        <is>
          <t>scope</t>
        </is>
      </c>
      <c r="K214" s="17" t="inlineStr">
        <is>
          <t>enum</t>
        </is>
      </c>
      <c r="L214" s="16" t="inlineStr">
        <is>
          <t>是</t>
        </is>
      </c>
      <c r="M214" s="17" t="inlineStr">
        <is>
          <t>list 导出列表字段 / research 导出研究数据（CRF 全量，供 SPSS / Stata）</t>
        </is>
      </c>
      <c r="N214" s="17" t="inlineStr">
        <is>
          <t>research</t>
        </is>
      </c>
      <c r="O214" s="17" t="inlineStr"/>
      <c r="P214" s="15" t="n"/>
    </row>
    <row r="215" ht="33.66666666666666" customHeight="1">
      <c r="A215" s="15" t="n"/>
      <c r="B215" s="15" t="n"/>
      <c r="C215" s="15" t="n"/>
      <c r="D215" s="15" t="n"/>
      <c r="E215" s="15" t="n"/>
      <c r="F215" s="15" t="n"/>
      <c r="G215" s="15" t="n"/>
      <c r="H215" s="16" t="inlineStr">
        <is>
          <t>入参</t>
        </is>
      </c>
      <c r="I215" s="17" t="inlineStr">
        <is>
          <t>query</t>
        </is>
      </c>
      <c r="J215" s="17" t="inlineStr">
        <is>
          <t>format</t>
        </is>
      </c>
      <c r="K215" s="17" t="inlineStr">
        <is>
          <t>enum</t>
        </is>
      </c>
      <c r="L215" s="16" t="inlineStr">
        <is>
          <t>是</t>
        </is>
      </c>
      <c r="M215" s="17" t="inlineStr">
        <is>
          <t>list：xlsx / csv；research：sav / dta / csv（附 codebook）</t>
        </is>
      </c>
      <c r="N215" s="17" t="inlineStr">
        <is>
          <t>sav</t>
        </is>
      </c>
      <c r="O215" s="17" t="inlineStr"/>
      <c r="P215" s="15" t="n"/>
    </row>
    <row r="216" ht="47.16666666666666" customHeight="1">
      <c r="A216" s="15" t="n"/>
      <c r="B216" s="15" t="n"/>
      <c r="C216" s="15" t="n"/>
      <c r="D216" s="15" t="n"/>
      <c r="E216" s="15" t="n"/>
      <c r="F216" s="15" t="n"/>
      <c r="G216" s="15" t="n"/>
      <c r="H216" s="16" t="inlineStr">
        <is>
          <t>入参</t>
        </is>
      </c>
      <c r="I216" s="17" t="inlineStr">
        <is>
          <t>query</t>
        </is>
      </c>
      <c r="J216" s="17" t="inlineStr">
        <is>
          <t>layout</t>
        </is>
      </c>
      <c r="K216" s="17" t="inlineStr">
        <is>
          <t>enum</t>
        </is>
      </c>
      <c r="L216" s="16" t="inlineStr">
        <is>
          <t>否</t>
        </is>
      </c>
      <c r="M216" s="17" t="inlineStr">
        <is>
          <t>仅 research：visit_long 每行一次访视（默认）/ patient_wide 每行一位患者（基线）/ multi 多表 zip</t>
        </is>
      </c>
      <c r="N216" s="17" t="inlineStr">
        <is>
          <t>visit_long</t>
        </is>
      </c>
      <c r="O216" s="17" t="inlineStr"/>
      <c r="P216" s="15" t="n"/>
    </row>
    <row r="217" ht="33.66666666666666" customHeight="1">
      <c r="A217" s="15" t="n"/>
      <c r="B217" s="15" t="n"/>
      <c r="C217" s="15" t="n"/>
      <c r="D217" s="15" t="n"/>
      <c r="E217" s="15" t="n"/>
      <c r="F217" s="15" t="n"/>
      <c r="G217" s="15" t="n"/>
      <c r="H217" s="16" t="inlineStr">
        <is>
          <t>入参</t>
        </is>
      </c>
      <c r="I217" s="17" t="inlineStr">
        <is>
          <t>query</t>
        </is>
      </c>
      <c r="J217" s="17" t="inlineStr">
        <is>
          <t>patientIds</t>
        </is>
      </c>
      <c r="K217" s="17" t="inlineStr">
        <is>
          <t>string</t>
        </is>
      </c>
      <c r="L217" s="16" t="inlineStr">
        <is>
          <t>否</t>
        </is>
      </c>
      <c r="M217" s="17" t="inlineStr">
        <is>
          <t>勾选导出：逗号分隔 ID号；不传则按下列筛选条件导出</t>
        </is>
      </c>
      <c r="N217" s="17" t="inlineStr">
        <is>
          <t>611991,612008</t>
        </is>
      </c>
      <c r="O217" s="17" t="inlineStr"/>
      <c r="P217" s="15" t="n"/>
    </row>
    <row r="218" ht="33.66666666666666" customHeight="1">
      <c r="A218" s="15" t="n"/>
      <c r="B218" s="15" t="n"/>
      <c r="C218" s="15" t="n"/>
      <c r="D218" s="15" t="n"/>
      <c r="E218" s="15" t="n"/>
      <c r="F218" s="15" t="n"/>
      <c r="G218" s="15" t="n"/>
      <c r="H218" s="16" t="inlineStr">
        <is>
          <t>入参</t>
        </is>
      </c>
      <c r="I218" s="17" t="inlineStr">
        <is>
          <t>query</t>
        </is>
      </c>
      <c r="J218" s="17" t="inlineStr">
        <is>
          <t>keyword / followStatus / completeness</t>
        </is>
      </c>
      <c r="K218" s="17" t="inlineStr">
        <is>
          <t>—</t>
        </is>
      </c>
      <c r="L218" s="16" t="inlineStr">
        <is>
          <t>否</t>
        </is>
      </c>
      <c r="M218" s="17" t="inlineStr">
        <is>
          <t>与 PT01 相同的筛选条件（未勾选时生效）</t>
        </is>
      </c>
      <c r="N218" s="17" t="inlineStr"/>
      <c r="O218" s="17" t="inlineStr"/>
      <c r="P218" s="15" t="n"/>
    </row>
    <row r="219" ht="20.16666666666667" customHeight="1">
      <c r="A219" s="15" t="n"/>
      <c r="B219" s="15" t="n"/>
      <c r="C219" s="15" t="n"/>
      <c r="D219" s="15" t="n"/>
      <c r="E219" s="15" t="n"/>
      <c r="F219" s="15" t="n"/>
      <c r="G219" s="15" t="n"/>
      <c r="H219" s="16" t="inlineStr">
        <is>
          <t>入参</t>
        </is>
      </c>
      <c r="I219" s="17" t="inlineStr">
        <is>
          <t>query</t>
        </is>
      </c>
      <c r="J219" s="17" t="inlineStr">
        <is>
          <t>deidentify</t>
        </is>
      </c>
      <c r="K219" s="17" t="inlineStr">
        <is>
          <t>boolean</t>
        </is>
      </c>
      <c r="L219" s="16" t="inlineStr">
        <is>
          <t>否</t>
        </is>
      </c>
      <c r="M219" s="17" t="inlineStr">
        <is>
          <t>是否脱敏，默认 true；false 需 export:full 权限</t>
        </is>
      </c>
      <c r="N219" s="17" t="inlineStr">
        <is>
          <t>true</t>
        </is>
      </c>
      <c r="O219" s="17" t="inlineStr"/>
      <c r="P219" s="15" t="n"/>
    </row>
    <row r="220" ht="47.16666666666666" customHeight="1">
      <c r="A220" s="15" t="n"/>
      <c r="B220" s="15" t="n"/>
      <c r="C220" s="15" t="n"/>
      <c r="D220" s="15" t="n"/>
      <c r="E220" s="15" t="n"/>
      <c r="F220" s="15" t="n"/>
      <c r="G220" s="15" t="n"/>
      <c r="H220" s="18" t="inlineStr">
        <is>
          <t>出参</t>
        </is>
      </c>
      <c r="I220" s="19" t="inlineStr">
        <is>
          <t>data</t>
        </is>
      </c>
      <c r="J220" s="19" t="inlineStr">
        <is>
          <t>(文件流)</t>
        </is>
      </c>
      <c r="K220" s="19" t="inlineStr">
        <is>
          <t>file</t>
        </is>
      </c>
      <c r="L220" s="18" t="inlineStr"/>
      <c r="M220" s="19" t="inlineStr">
        <is>
          <t>Content-Disposition: attachment; filename="RA-患者数据-20260930.sav"。multi 或附 codebook 时为 .zip</t>
        </is>
      </c>
      <c r="N220" s="19" t="inlineStr"/>
      <c r="O220" s="19" t="inlineStr"/>
      <c r="P220" s="15" t="n"/>
    </row>
    <row r="221" ht="33.66666666666666" customHeight="1">
      <c r="A221" s="15" t="n"/>
      <c r="B221" s="15" t="n"/>
      <c r="C221" s="15" t="n"/>
      <c r="D221" s="15" t="n"/>
      <c r="E221" s="15" t="n"/>
      <c r="F221" s="15" t="n"/>
      <c r="G221" s="15" t="n"/>
      <c r="H221" s="20" t="inlineStr">
        <is>
          <t>页面口径</t>
        </is>
      </c>
      <c r="I221" s="21" t="inlineStr">
        <is>
          <t>数据导出</t>
        </is>
      </c>
      <c r="J221" s="21" t="inlineStr">
        <is>
          <t>—</t>
        </is>
      </c>
      <c r="K221" s="21" t="inlineStr">
        <is>
          <t>—</t>
        </is>
      </c>
      <c r="L221" s="20" t="inlineStr"/>
      <c r="M221" s="21" t="inlineStr">
        <is>
          <t>PT-09 导出范围
导出哪些患者</t>
        </is>
      </c>
      <c r="N221" s="21" t="inlineStr"/>
      <c r="O221" s="21" t="inlineStr">
        <is>
          <t>勾选了患者 → 只导出所选；未勾选 → 导出当前筛选结果（全部页，不只当前页）</t>
        </is>
      </c>
      <c r="P221" s="15" t="n"/>
    </row>
    <row r="222" ht="31" customHeight="1">
      <c r="A222" s="8" t="inlineStr">
        <is>
          <t>患者管理</t>
        </is>
      </c>
      <c r="B222" s="8" t="inlineStr">
        <is>
          <t>patient-create.html / visit-create.html</t>
        </is>
      </c>
      <c r="C222" s="8" t="inlineStr">
        <is>
          <t>拍照上传（化验单 / 病历照片）</t>
        </is>
      </c>
      <c r="D222" s="9" t="inlineStr">
        <is>
          <t>PT04</t>
        </is>
      </c>
      <c r="E222" s="10" t="inlineStr">
        <is>
          <t>上传附件</t>
        </is>
      </c>
      <c r="F222" s="11" t="inlineStr">
        <is>
          <t>POST</t>
        </is>
      </c>
      <c r="G222" s="12" t="inlineStr">
        <is>
          <t>/api/v1/files</t>
        </is>
      </c>
      <c r="H222" s="13" t="inlineStr">
        <is>
          <t>入参</t>
        </is>
      </c>
      <c r="I222" s="14" t="inlineStr">
        <is>
          <t>body(multipart)</t>
        </is>
      </c>
      <c r="J222" s="14" t="inlineStr">
        <is>
          <t>file</t>
        </is>
      </c>
      <c r="K222" s="14" t="inlineStr">
        <is>
          <t>file</t>
        </is>
      </c>
      <c r="L222" s="13" t="inlineStr">
        <is>
          <t>是</t>
        </is>
      </c>
      <c r="M222" s="14" t="inlineStr">
        <is>
          <t>图片 jpg/png/heic 或 pdf，单个 ≤ 10 MB，可多次调用</t>
        </is>
      </c>
      <c r="N222" s="14" t="inlineStr"/>
      <c r="O222" s="14" t="inlineStr"/>
      <c r="P222" s="8" t="inlineStr">
        <is>
          <t>文件存对象存储（MinIO），数据库只存 object_key 与 sha256。未绑定访视的附件 7 天后清理。</t>
        </is>
      </c>
    </row>
    <row r="223" ht="31" customHeight="1">
      <c r="A223" s="15" t="n"/>
      <c r="B223" s="15" t="n"/>
      <c r="C223" s="15" t="n"/>
      <c r="D223" s="15" t="n"/>
      <c r="E223" s="15" t="n"/>
      <c r="F223" s="15" t="n"/>
      <c r="G223" s="15" t="n"/>
      <c r="H223" s="16" t="inlineStr">
        <is>
          <t>入参</t>
        </is>
      </c>
      <c r="I223" s="17" t="inlineStr">
        <is>
          <t>body(multipart)</t>
        </is>
      </c>
      <c r="J223" s="17" t="inlineStr">
        <is>
          <t>purpose</t>
        </is>
      </c>
      <c r="K223" s="17" t="inlineStr">
        <is>
          <t>enum</t>
        </is>
      </c>
      <c r="L223" s="16" t="inlineStr">
        <is>
          <t>是</t>
        </is>
      </c>
      <c r="M223" s="17" t="inlineStr">
        <is>
          <t>lab_report 化验单 / case_record 纸质病历 / other</t>
        </is>
      </c>
      <c r="N223" s="17" t="inlineStr">
        <is>
          <t>lab_report</t>
        </is>
      </c>
      <c r="O223" s="17" t="inlineStr"/>
      <c r="P223" s="15" t="n"/>
    </row>
    <row r="224" ht="31" customHeight="1">
      <c r="A224" s="15" t="n"/>
      <c r="B224" s="15" t="n"/>
      <c r="C224" s="15" t="n"/>
      <c r="D224" s="15" t="n"/>
      <c r="E224" s="15" t="n"/>
      <c r="F224" s="15" t="n"/>
      <c r="G224" s="15" t="n"/>
      <c r="H224" s="16" t="inlineStr">
        <is>
          <t>入参</t>
        </is>
      </c>
      <c r="I224" s="17" t="inlineStr">
        <is>
          <t>body(multipart)</t>
        </is>
      </c>
      <c r="J224" s="17" t="inlineStr">
        <is>
          <t>patientId</t>
        </is>
      </c>
      <c r="K224" s="17" t="inlineStr">
        <is>
          <t>string</t>
        </is>
      </c>
      <c r="L224" s="16" t="inlineStr">
        <is>
          <t>否</t>
        </is>
      </c>
      <c r="M224" s="17" t="inlineStr">
        <is>
          <t>已有患者时传</t>
        </is>
      </c>
      <c r="N224" s="17" t="inlineStr">
        <is>
          <t>611991</t>
        </is>
      </c>
      <c r="O224" s="17" t="inlineStr"/>
      <c r="P224" s="15" t="n"/>
    </row>
    <row r="225" ht="31" customHeight="1">
      <c r="A225" s="15" t="n"/>
      <c r="B225" s="15" t="n"/>
      <c r="C225" s="15" t="n"/>
      <c r="D225" s="15" t="n"/>
      <c r="E225" s="15" t="n"/>
      <c r="F225" s="15" t="n"/>
      <c r="G225" s="15" t="n"/>
      <c r="H225" s="16" t="inlineStr">
        <is>
          <t>入参</t>
        </is>
      </c>
      <c r="I225" s="17" t="inlineStr">
        <is>
          <t>body(multipart)</t>
        </is>
      </c>
      <c r="J225" s="17" t="inlineStr">
        <is>
          <t>visitId</t>
        </is>
      </c>
      <c r="K225" s="17" t="inlineStr">
        <is>
          <t>string</t>
        </is>
      </c>
      <c r="L225" s="16" t="inlineStr">
        <is>
          <t>否</t>
        </is>
      </c>
      <c r="M225" s="17" t="inlineStr">
        <is>
          <t>已有访视时传；新建时可空，保存访视后再绑定</t>
        </is>
      </c>
      <c r="N225" s="17" t="inlineStr"/>
      <c r="O225" s="17" t="inlineStr"/>
      <c r="P225" s="15" t="n"/>
    </row>
    <row r="226" ht="17.5" customHeight="1">
      <c r="A226" s="15" t="n"/>
      <c r="B226" s="15" t="n"/>
      <c r="C226" s="15" t="n"/>
      <c r="D226" s="15" t="n"/>
      <c r="E226" s="15" t="n"/>
      <c r="F226" s="15" t="n"/>
      <c r="G226" s="15" t="n"/>
      <c r="H226" s="18" t="inlineStr">
        <is>
          <t>出参</t>
        </is>
      </c>
      <c r="I226" s="19" t="inlineStr">
        <is>
          <t>data</t>
        </is>
      </c>
      <c r="J226" s="19" t="inlineStr">
        <is>
          <t>fileId</t>
        </is>
      </c>
      <c r="K226" s="19" t="inlineStr">
        <is>
          <t>string</t>
        </is>
      </c>
      <c r="L226" s="18" t="inlineStr"/>
      <c r="M226" s="19" t="inlineStr">
        <is>
          <t>附件 ID</t>
        </is>
      </c>
      <c r="N226" s="19" t="inlineStr">
        <is>
          <t>f_8a1c</t>
        </is>
      </c>
      <c r="O226" s="19" t="inlineStr"/>
      <c r="P226" s="15" t="n"/>
    </row>
    <row r="227" ht="17.5" customHeight="1">
      <c r="A227" s="15" t="n"/>
      <c r="B227" s="15" t="n"/>
      <c r="C227" s="15" t="n"/>
      <c r="D227" s="15" t="n"/>
      <c r="E227" s="15" t="n"/>
      <c r="F227" s="15" t="n"/>
      <c r="G227" s="15" t="n"/>
      <c r="H227" s="18" t="inlineStr">
        <is>
          <t>出参</t>
        </is>
      </c>
      <c r="I227" s="19" t="inlineStr">
        <is>
          <t>data</t>
        </is>
      </c>
      <c r="J227" s="19" t="inlineStr">
        <is>
          <t>fileName</t>
        </is>
      </c>
      <c r="K227" s="19" t="inlineStr">
        <is>
          <t>string</t>
        </is>
      </c>
      <c r="L227" s="18" t="inlineStr"/>
      <c r="M227" s="19" t="inlineStr">
        <is>
          <t>原文件名</t>
        </is>
      </c>
      <c r="N227" s="19" t="inlineStr">
        <is>
          <t>血常规0917.jpg</t>
        </is>
      </c>
      <c r="O227" s="19" t="inlineStr"/>
      <c r="P227" s="15" t="n"/>
    </row>
    <row r="228" ht="17.5" customHeight="1">
      <c r="A228" s="15" t="n"/>
      <c r="B228" s="15" t="n"/>
      <c r="C228" s="15" t="n"/>
      <c r="D228" s="15" t="n"/>
      <c r="E228" s="15" t="n"/>
      <c r="F228" s="15" t="n"/>
      <c r="G228" s="15" t="n"/>
      <c r="H228" s="18" t="inlineStr">
        <is>
          <t>出参</t>
        </is>
      </c>
      <c r="I228" s="19" t="inlineStr">
        <is>
          <t>data</t>
        </is>
      </c>
      <c r="J228" s="19" t="inlineStr">
        <is>
          <t>size</t>
        </is>
      </c>
      <c r="K228" s="19" t="inlineStr">
        <is>
          <t>integer</t>
        </is>
      </c>
      <c r="L228" s="18" t="inlineStr"/>
      <c r="M228" s="19" t="inlineStr">
        <is>
          <t>字节数</t>
        </is>
      </c>
      <c r="N228" s="19" t="inlineStr">
        <is>
          <t>524288</t>
        </is>
      </c>
      <c r="O228" s="19" t="inlineStr"/>
      <c r="P228" s="15" t="n"/>
    </row>
    <row r="229" ht="17.5" customHeight="1">
      <c r="A229" s="15" t="n"/>
      <c r="B229" s="15" t="n"/>
      <c r="C229" s="15" t="n"/>
      <c r="D229" s="15" t="n"/>
      <c r="E229" s="15" t="n"/>
      <c r="F229" s="15" t="n"/>
      <c r="G229" s="15" t="n"/>
      <c r="H229" s="18" t="inlineStr">
        <is>
          <t>出参</t>
        </is>
      </c>
      <c r="I229" s="19" t="inlineStr">
        <is>
          <t>data</t>
        </is>
      </c>
      <c r="J229" s="19" t="inlineStr">
        <is>
          <t>url</t>
        </is>
      </c>
      <c r="K229" s="19" t="inlineStr">
        <is>
          <t>string</t>
        </is>
      </c>
      <c r="L229" s="18" t="inlineStr"/>
      <c r="M229" s="19" t="inlineStr">
        <is>
          <t>临时预览地址（10 分钟有效）</t>
        </is>
      </c>
      <c r="N229" s="19" t="inlineStr">
        <is>
          <t>https://…</t>
        </is>
      </c>
      <c r="O229" s="19" t="inlineStr"/>
      <c r="P229" s="15" t="n"/>
    </row>
    <row r="230" ht="17.5" customHeight="1">
      <c r="A230" s="8" t="inlineStr">
        <is>
          <t>患者管理</t>
        </is>
      </c>
      <c r="B230" s="8" t="inlineStr">
        <is>
          <t>patient-create.html / visit-create.html</t>
        </is>
      </c>
      <c r="C230" s="8" t="inlineStr">
        <is>
          <t>血象报告识别 · 回填辅助检查</t>
        </is>
      </c>
      <c r="D230" s="9" t="inlineStr">
        <is>
          <t>PT05</t>
        </is>
      </c>
      <c r="E230" s="10" t="inlineStr">
        <is>
          <t>化验单识别（百度医疗 OCR）</t>
        </is>
      </c>
      <c r="F230" s="11" t="inlineStr">
        <is>
          <t>POST</t>
        </is>
      </c>
      <c r="G230" s="12" t="inlineStr">
        <is>
          <t>/api/v1/ocr/lab-report</t>
        </is>
      </c>
      <c r="H230" s="13" t="inlineStr">
        <is>
          <t>入参</t>
        </is>
      </c>
      <c r="I230" s="14" t="inlineStr">
        <is>
          <t>body</t>
        </is>
      </c>
      <c r="J230" s="14" t="inlineStr">
        <is>
          <t>fileIds</t>
        </is>
      </c>
      <c r="K230" s="14" t="inlineStr">
        <is>
          <t>string[]</t>
        </is>
      </c>
      <c r="L230" s="13" t="inlineStr">
        <is>
          <t>是</t>
        </is>
      </c>
      <c r="M230" s="14" t="inlineStr">
        <is>
          <t>PT04 返回的 fileId，1–10 张</t>
        </is>
      </c>
      <c r="N230" s="14" t="inlineStr">
        <is>
          <t>["f_8a1c"]</t>
        </is>
      </c>
      <c r="O230" s="14" t="inlineStr"/>
      <c r="P230" s="8" t="inlineStr">
        <is>
          <t>后端调用百度智能云「医疗检验报告单识别」；AK/SK 只放服务端。
识别项目名 → CRF 字段编码通过映射表（如 血红蛋白/HGB/Hb → LAB.hgb），映射表由后台维护。
单位不一致时（如 CRP mg/dL）服务端换算为字典单位并标注。
只返回建议值，不直接入库；医生核对后随访视一起保存。
整页「纸质病历拍照导入」需要大模型理解，归入 AI 方案另议。</t>
        </is>
      </c>
    </row>
    <row r="231" ht="17.5" customHeight="1">
      <c r="A231" s="15" t="n"/>
      <c r="B231" s="15" t="n"/>
      <c r="C231" s="15" t="n"/>
      <c r="D231" s="15" t="n"/>
      <c r="E231" s="15" t="n"/>
      <c r="F231" s="15" t="n"/>
      <c r="G231" s="15" t="n"/>
      <c r="H231" s="18" t="inlineStr">
        <is>
          <t>出参</t>
        </is>
      </c>
      <c r="I231" s="19" t="inlineStr">
        <is>
          <t>data</t>
        </is>
      </c>
      <c r="J231" s="19" t="inlineStr">
        <is>
          <t>items[].fieldCode</t>
        </is>
      </c>
      <c r="K231" s="19" t="inlineStr">
        <is>
          <t>string</t>
        </is>
      </c>
      <c r="L231" s="18" t="inlineStr"/>
      <c r="M231" s="19" t="inlineStr">
        <is>
          <t>匹配到的 CRF 字段编码；匹配不到为 null</t>
        </is>
      </c>
      <c r="N231" s="19" t="inlineStr">
        <is>
          <t>LAB.hgb</t>
        </is>
      </c>
      <c r="O231" s="19" t="inlineStr"/>
      <c r="P231" s="15" t="n"/>
    </row>
    <row r="232" ht="17.5" customHeight="1">
      <c r="A232" s="15" t="n"/>
      <c r="B232" s="15" t="n"/>
      <c r="C232" s="15" t="n"/>
      <c r="D232" s="15" t="n"/>
      <c r="E232" s="15" t="n"/>
      <c r="F232" s="15" t="n"/>
      <c r="G232" s="15" t="n"/>
      <c r="H232" s="18" t="inlineStr">
        <is>
          <t>出参</t>
        </is>
      </c>
      <c r="I232" s="19" t="inlineStr">
        <is>
          <t>data</t>
        </is>
      </c>
      <c r="J232" s="19" t="inlineStr">
        <is>
          <t>items[].rawName</t>
        </is>
      </c>
      <c r="K232" s="19" t="inlineStr">
        <is>
          <t>string</t>
        </is>
      </c>
      <c r="L232" s="18" t="inlineStr"/>
      <c r="M232" s="19" t="inlineStr">
        <is>
          <t>OCR 识别出的项目名</t>
        </is>
      </c>
      <c r="N232" s="19" t="inlineStr">
        <is>
          <t>血红蛋白</t>
        </is>
      </c>
      <c r="O232" s="19" t="inlineStr"/>
      <c r="P232" s="15" t="n"/>
    </row>
    <row r="233" ht="31" customHeight="1">
      <c r="A233" s="15" t="n"/>
      <c r="B233" s="15" t="n"/>
      <c r="C233" s="15" t="n"/>
      <c r="D233" s="15" t="n"/>
      <c r="E233" s="15" t="n"/>
      <c r="F233" s="15" t="n"/>
      <c r="G233" s="15" t="n"/>
      <c r="H233" s="18" t="inlineStr">
        <is>
          <t>出参</t>
        </is>
      </c>
      <c r="I233" s="19" t="inlineStr">
        <is>
          <t>data</t>
        </is>
      </c>
      <c r="J233" s="19" t="inlineStr">
        <is>
          <t>items[].value</t>
        </is>
      </c>
      <c r="K233" s="19" t="inlineStr">
        <is>
          <t>number|string</t>
        </is>
      </c>
      <c r="L233" s="18" t="inlineStr"/>
      <c r="M233" s="19" t="inlineStr">
        <is>
          <t>识别值</t>
        </is>
      </c>
      <c r="N233" s="19" t="inlineStr">
        <is>
          <t>86</t>
        </is>
      </c>
      <c r="O233" s="19" t="inlineStr"/>
      <c r="P233" s="15" t="n"/>
    </row>
    <row r="234" ht="17.5" customHeight="1">
      <c r="A234" s="15" t="n"/>
      <c r="B234" s="15" t="n"/>
      <c r="C234" s="15" t="n"/>
      <c r="D234" s="15" t="n"/>
      <c r="E234" s="15" t="n"/>
      <c r="F234" s="15" t="n"/>
      <c r="G234" s="15" t="n"/>
      <c r="H234" s="18" t="inlineStr">
        <is>
          <t>出参</t>
        </is>
      </c>
      <c r="I234" s="19" t="inlineStr">
        <is>
          <t>data</t>
        </is>
      </c>
      <c r="J234" s="19" t="inlineStr">
        <is>
          <t>items[].unit</t>
        </is>
      </c>
      <c r="K234" s="19" t="inlineStr">
        <is>
          <t>string</t>
        </is>
      </c>
      <c r="L234" s="18" t="inlineStr"/>
      <c r="M234" s="19" t="inlineStr">
        <is>
          <t>识别单位</t>
        </is>
      </c>
      <c r="N234" s="19" t="inlineStr">
        <is>
          <t>g/L</t>
        </is>
      </c>
      <c r="O234" s="19" t="inlineStr"/>
      <c r="P234" s="15" t="n"/>
    </row>
    <row r="235" ht="17.5" customHeight="1">
      <c r="A235" s="15" t="n"/>
      <c r="B235" s="15" t="n"/>
      <c r="C235" s="15" t="n"/>
      <c r="D235" s="15" t="n"/>
      <c r="E235" s="15" t="n"/>
      <c r="F235" s="15" t="n"/>
      <c r="G235" s="15" t="n"/>
      <c r="H235" s="18" t="inlineStr">
        <is>
          <t>出参</t>
        </is>
      </c>
      <c r="I235" s="19" t="inlineStr">
        <is>
          <t>data</t>
        </is>
      </c>
      <c r="J235" s="19" t="inlineStr">
        <is>
          <t>items[].refRange</t>
        </is>
      </c>
      <c r="K235" s="19" t="inlineStr">
        <is>
          <t>string</t>
        </is>
      </c>
      <c r="L235" s="18" t="inlineStr"/>
      <c r="M235" s="19" t="inlineStr">
        <is>
          <t>报告单上的参考范围</t>
        </is>
      </c>
      <c r="N235" s="19" t="inlineStr">
        <is>
          <t>115-150</t>
        </is>
      </c>
      <c r="O235" s="19" t="inlineStr"/>
      <c r="P235" s="15" t="n"/>
    </row>
    <row r="236" ht="17.5" customHeight="1">
      <c r="A236" s="15" t="n"/>
      <c r="B236" s="15" t="n"/>
      <c r="C236" s="15" t="n"/>
      <c r="D236" s="15" t="n"/>
      <c r="E236" s="15" t="n"/>
      <c r="F236" s="15" t="n"/>
      <c r="G236" s="15" t="n"/>
      <c r="H236" s="18" t="inlineStr">
        <is>
          <t>出参</t>
        </is>
      </c>
      <c r="I236" s="19" t="inlineStr">
        <is>
          <t>data</t>
        </is>
      </c>
      <c r="J236" s="19" t="inlineStr">
        <is>
          <t>items[].flag</t>
        </is>
      </c>
      <c r="K236" s="19" t="inlineStr">
        <is>
          <t>enum</t>
        </is>
      </c>
      <c r="L236" s="18" t="inlineStr"/>
      <c r="M236" s="19" t="inlineStr">
        <is>
          <t>H 偏高 / L 偏低 / N 正常 / 空</t>
        </is>
      </c>
      <c r="N236" s="19" t="inlineStr">
        <is>
          <t>L</t>
        </is>
      </c>
      <c r="O236" s="19" t="inlineStr"/>
      <c r="P236" s="15" t="n"/>
    </row>
    <row r="237" ht="17.5" customHeight="1">
      <c r="A237" s="15" t="n"/>
      <c r="B237" s="15" t="n"/>
      <c r="C237" s="15" t="n"/>
      <c r="D237" s="15" t="n"/>
      <c r="E237" s="15" t="n"/>
      <c r="F237" s="15" t="n"/>
      <c r="G237" s="15" t="n"/>
      <c r="H237" s="18" t="inlineStr">
        <is>
          <t>出参</t>
        </is>
      </c>
      <c r="I237" s="19" t="inlineStr">
        <is>
          <t>data</t>
        </is>
      </c>
      <c r="J237" s="19" t="inlineStr">
        <is>
          <t>items[].confidence</t>
        </is>
      </c>
      <c r="K237" s="19" t="inlineStr">
        <is>
          <t>number</t>
        </is>
      </c>
      <c r="L237" s="18" t="inlineStr"/>
      <c r="M237" s="19" t="inlineStr">
        <is>
          <t>置信度 0–1</t>
        </is>
      </c>
      <c r="N237" s="19" t="inlineStr">
        <is>
          <t>0.97</t>
        </is>
      </c>
      <c r="O237" s="19" t="inlineStr"/>
      <c r="P237" s="15" t="n"/>
    </row>
    <row r="238" ht="17.5" customHeight="1">
      <c r="A238" s="15" t="n"/>
      <c r="B238" s="15" t="n"/>
      <c r="C238" s="15" t="n"/>
      <c r="D238" s="15" t="n"/>
      <c r="E238" s="15" t="n"/>
      <c r="F238" s="15" t="n"/>
      <c r="G238" s="15" t="n"/>
      <c r="H238" s="18" t="inlineStr">
        <is>
          <t>出参</t>
        </is>
      </c>
      <c r="I238" s="19" t="inlineStr">
        <is>
          <t>data</t>
        </is>
      </c>
      <c r="J238" s="19" t="inlineStr">
        <is>
          <t>unmatched[]</t>
        </is>
      </c>
      <c r="K238" s="19" t="inlineStr">
        <is>
          <t>array</t>
        </is>
      </c>
      <c r="L238" s="18" t="inlineStr"/>
      <c r="M238" s="19" t="inlineStr">
        <is>
          <t>未能匹配 CRF 字段的项目，前端提示医生手动处理</t>
        </is>
      </c>
      <c r="N238" s="19" t="inlineStr"/>
      <c r="O238" s="19" t="inlineStr"/>
      <c r="P238" s="15" t="n"/>
    </row>
    <row r="239" ht="17.5" customHeight="1">
      <c r="A239" s="15" t="n"/>
      <c r="B239" s="15" t="n"/>
      <c r="C239" s="15" t="n"/>
      <c r="D239" s="15" t="n"/>
      <c r="E239" s="15" t="n"/>
      <c r="F239" s="15" t="n"/>
      <c r="G239" s="15" t="n"/>
      <c r="H239" s="18" t="inlineStr">
        <is>
          <t>出参</t>
        </is>
      </c>
      <c r="I239" s="19" t="inlineStr">
        <is>
          <t>data</t>
        </is>
      </c>
      <c r="J239" s="19" t="inlineStr">
        <is>
          <t>reportDate</t>
        </is>
      </c>
      <c r="K239" s="19" t="inlineStr">
        <is>
          <t>date</t>
        </is>
      </c>
      <c r="L239" s="18" t="inlineStr"/>
      <c r="M239" s="19" t="inlineStr">
        <is>
          <t>报告日期（识别得到时）</t>
        </is>
      </c>
      <c r="N239" s="19" t="inlineStr">
        <is>
          <t>2026-09-15</t>
        </is>
      </c>
      <c r="O239" s="19" t="inlineStr"/>
      <c r="P239" s="15" t="n"/>
    </row>
    <row r="240" ht="17.5" customHeight="1">
      <c r="A240" s="8" t="inlineStr">
        <is>
          <t>患者管理</t>
        </is>
      </c>
      <c r="B240" s="8" t="inlineStr">
        <is>
          <t>patient-visits.html</t>
        </is>
      </c>
      <c r="C240" s="8" t="inlineStr">
        <is>
          <t>患者基本信息卡片 + 常见相关疾病 + 其他病史</t>
        </is>
      </c>
      <c r="D240" s="9" t="inlineStr">
        <is>
          <t>PT06</t>
        </is>
      </c>
      <c r="E240" s="10" t="inlineStr">
        <is>
          <t>患者详情</t>
        </is>
      </c>
      <c r="F240" s="11" t="inlineStr">
        <is>
          <t>GET</t>
        </is>
      </c>
      <c r="G240" s="12" t="inlineStr">
        <is>
          <t>/api/v1/patients/{patientId}</t>
        </is>
      </c>
      <c r="H240" s="13" t="inlineStr">
        <is>
          <t>入参</t>
        </is>
      </c>
      <c r="I240" s="14" t="inlineStr">
        <is>
          <t>path</t>
        </is>
      </c>
      <c r="J240" s="14" t="inlineStr">
        <is>
          <t>patientId</t>
        </is>
      </c>
      <c r="K240" s="14" t="inlineStr">
        <is>
          <t>string</t>
        </is>
      </c>
      <c r="L240" s="13" t="inlineStr">
        <is>
          <t>是</t>
        </is>
      </c>
      <c r="M240" s="14" t="inlineStr">
        <is>
          <t>ID号</t>
        </is>
      </c>
      <c r="N240" s="14" t="inlineStr">
        <is>
          <t>611991</t>
        </is>
      </c>
      <c r="O240" s="14" t="inlineStr"/>
      <c r="P240" s="8" t="inlineStr">
        <is>
          <t>身份证号、手机号列表和详情一律返回脱敏值；点「眼睛」看明文调用 PT07。</t>
        </is>
      </c>
    </row>
    <row r="241" ht="17.5" customHeight="1">
      <c r="A241" s="15" t="n"/>
      <c r="B241" s="15" t="n"/>
      <c r="C241" s="15" t="n"/>
      <c r="D241" s="15" t="n"/>
      <c r="E241" s="15" t="n"/>
      <c r="F241" s="15" t="n"/>
      <c r="G241" s="15" t="n"/>
      <c r="H241" s="18" t="inlineStr">
        <is>
          <t>出参</t>
        </is>
      </c>
      <c r="I241" s="19" t="inlineStr">
        <is>
          <t>data</t>
        </is>
      </c>
      <c r="J241" s="19" t="inlineStr">
        <is>
          <t>patientId</t>
        </is>
      </c>
      <c r="K241" s="19" t="inlineStr">
        <is>
          <t>string</t>
        </is>
      </c>
      <c r="L241" s="18" t="inlineStr"/>
      <c r="M241" s="19" t="inlineStr">
        <is>
          <t>ID号（患者主键，系统生成，不可修改）</t>
        </is>
      </c>
      <c r="N241" s="19" t="inlineStr">
        <is>
          <t>611991</t>
        </is>
      </c>
      <c r="O241" s="19" t="inlineStr"/>
      <c r="P241" s="15" t="n"/>
    </row>
    <row r="242" ht="17.5" customHeight="1">
      <c r="A242" s="15" t="n"/>
      <c r="B242" s="15" t="n"/>
      <c r="C242" s="15" t="n"/>
      <c r="D242" s="15" t="n"/>
      <c r="E242" s="15" t="n"/>
      <c r="F242" s="15" t="n"/>
      <c r="G242" s="15" t="n"/>
      <c r="H242" s="18" t="inlineStr">
        <is>
          <t>出参</t>
        </is>
      </c>
      <c r="I242" s="19" t="inlineStr">
        <is>
          <t>data</t>
        </is>
      </c>
      <c r="J242" s="19" t="inlineStr">
        <is>
          <t>studyNo</t>
        </is>
      </c>
      <c r="K242" s="19" t="inlineStr">
        <is>
          <t>string</t>
        </is>
      </c>
      <c r="L242" s="18" t="inlineStr"/>
      <c r="M242" s="19" t="inlineStr">
        <is>
          <t>研究编号</t>
        </is>
      </c>
      <c r="N242" s="19" t="inlineStr">
        <is>
          <t>RA-2026-0101</t>
        </is>
      </c>
      <c r="O242" s="19" t="inlineStr"/>
      <c r="P242" s="15" t="n"/>
    </row>
    <row r="243" ht="31" customHeight="1">
      <c r="A243" s="15" t="n"/>
      <c r="B243" s="15" t="n"/>
      <c r="C243" s="15" t="n"/>
      <c r="D243" s="15" t="n"/>
      <c r="E243" s="15" t="n"/>
      <c r="F243" s="15" t="n"/>
      <c r="G243" s="15" t="n"/>
      <c r="H243" s="18" t="inlineStr">
        <is>
          <t>出参</t>
        </is>
      </c>
      <c r="I243" s="19" t="inlineStr">
        <is>
          <t>data</t>
        </is>
      </c>
      <c r="J243" s="19" t="inlineStr">
        <is>
          <t>name</t>
        </is>
      </c>
      <c r="K243" s="19" t="inlineStr">
        <is>
          <t>string</t>
        </is>
      </c>
      <c r="L243" s="18" t="inlineStr"/>
      <c r="M243" s="19" t="inlineStr">
        <is>
          <t>姓名（列表场景按权限返回，默认明文；导出另行脱敏）</t>
        </is>
      </c>
      <c r="N243" s="19" t="inlineStr">
        <is>
          <t>林书豪</t>
        </is>
      </c>
      <c r="O243" s="19" t="inlineStr"/>
      <c r="P243" s="15" t="n"/>
    </row>
    <row r="244" ht="17.5" customHeight="1">
      <c r="A244" s="15" t="n"/>
      <c r="B244" s="15" t="n"/>
      <c r="C244" s="15" t="n"/>
      <c r="D244" s="15" t="n"/>
      <c r="E244" s="15" t="n"/>
      <c r="F244" s="15" t="n"/>
      <c r="G244" s="15" t="n"/>
      <c r="H244" s="18" t="inlineStr">
        <is>
          <t>出参</t>
        </is>
      </c>
      <c r="I244" s="19" t="inlineStr">
        <is>
          <t>data</t>
        </is>
      </c>
      <c r="J244" s="19" t="inlineStr">
        <is>
          <t>sex</t>
        </is>
      </c>
      <c r="K244" s="19" t="inlineStr">
        <is>
          <t>enum</t>
        </is>
      </c>
      <c r="L244" s="18" t="inlineStr"/>
      <c r="M244" s="19" t="inlineStr">
        <is>
          <t>性别：M 男 / F 女</t>
        </is>
      </c>
      <c r="N244" s="19" t="inlineStr">
        <is>
          <t>M</t>
        </is>
      </c>
      <c r="O244" s="19" t="inlineStr"/>
      <c r="P244" s="15" t="n"/>
    </row>
    <row r="245" ht="17.5" customHeight="1">
      <c r="A245" s="15" t="n"/>
      <c r="B245" s="15" t="n"/>
      <c r="C245" s="15" t="n"/>
      <c r="D245" s="15" t="n"/>
      <c r="E245" s="15" t="n"/>
      <c r="F245" s="15" t="n"/>
      <c r="G245" s="15" t="n"/>
      <c r="H245" s="18" t="inlineStr">
        <is>
          <t>出参</t>
        </is>
      </c>
      <c r="I245" s="19" t="inlineStr">
        <is>
          <t>data</t>
        </is>
      </c>
      <c r="J245" s="19" t="inlineStr">
        <is>
          <t>birthYear</t>
        </is>
      </c>
      <c r="K245" s="19" t="inlineStr">
        <is>
          <t>integer</t>
        </is>
      </c>
      <c r="L245" s="18" t="inlineStr"/>
      <c r="M245" s="19" t="inlineStr">
        <is>
          <t>出生年份（由出生日期取年）</t>
        </is>
      </c>
      <c r="N245" s="19" t="inlineStr">
        <is>
          <t>1958</t>
        </is>
      </c>
      <c r="O245" s="19" t="inlineStr"/>
      <c r="P245" s="15" t="n"/>
    </row>
    <row r="246" ht="17.5" customHeight="1">
      <c r="A246" s="15" t="n"/>
      <c r="B246" s="15" t="n"/>
      <c r="C246" s="15" t="n"/>
      <c r="D246" s="15" t="n"/>
      <c r="E246" s="15" t="n"/>
      <c r="F246" s="15" t="n"/>
      <c r="G246" s="15" t="n"/>
      <c r="H246" s="18" t="inlineStr">
        <is>
          <t>出参</t>
        </is>
      </c>
      <c r="I246" s="19" t="inlineStr">
        <is>
          <t>data</t>
        </is>
      </c>
      <c r="J246" s="19" t="inlineStr">
        <is>
          <t>visitCount</t>
        </is>
      </c>
      <c r="K246" s="19" t="inlineStr">
        <is>
          <t>integer</t>
        </is>
      </c>
      <c r="L246" s="18" t="inlineStr"/>
      <c r="M246" s="19" t="inlineStr">
        <is>
          <t>已提交的访视次数（页面「已随访 N 次」）</t>
        </is>
      </c>
      <c r="N246" s="19" t="inlineStr">
        <is>
          <t>6</t>
        </is>
      </c>
      <c r="O246" s="19" t="inlineStr"/>
      <c r="P246" s="15" t="n"/>
    </row>
    <row r="247" ht="17.5" customHeight="1">
      <c r="A247" s="15" t="n"/>
      <c r="B247" s="15" t="n"/>
      <c r="C247" s="15" t="n"/>
      <c r="D247" s="15" t="n"/>
      <c r="E247" s="15" t="n"/>
      <c r="F247" s="15" t="n"/>
      <c r="G247" s="15" t="n"/>
      <c r="H247" s="18" t="inlineStr">
        <is>
          <t>出参</t>
        </is>
      </c>
      <c r="I247" s="19" t="inlineStr">
        <is>
          <t>data</t>
        </is>
      </c>
      <c r="J247" s="19" t="inlineStr">
        <is>
          <t>phoneMasked</t>
        </is>
      </c>
      <c r="K247" s="19" t="inlineStr">
        <is>
          <t>string</t>
        </is>
      </c>
      <c r="L247" s="18" t="inlineStr"/>
      <c r="M247" s="19" t="inlineStr">
        <is>
          <t>手机号脱敏（前 3 后 4）</t>
        </is>
      </c>
      <c r="N247" s="19" t="inlineStr">
        <is>
          <t>138****7919</t>
        </is>
      </c>
      <c r="O247" s="19" t="inlineStr"/>
      <c r="P247" s="15" t="n"/>
    </row>
    <row r="248" ht="31" customHeight="1">
      <c r="A248" s="15" t="n"/>
      <c r="B248" s="15" t="n"/>
      <c r="C248" s="15" t="n"/>
      <c r="D248" s="15" t="n"/>
      <c r="E248" s="15" t="n"/>
      <c r="F248" s="15" t="n"/>
      <c r="G248" s="15" t="n"/>
      <c r="H248" s="18" t="inlineStr">
        <is>
          <t>出参</t>
        </is>
      </c>
      <c r="I248" s="19" t="inlineStr">
        <is>
          <t>data</t>
        </is>
      </c>
      <c r="J248" s="19" t="inlineStr">
        <is>
          <t>idNumberMasked</t>
        </is>
      </c>
      <c r="K248" s="19" t="inlineStr">
        <is>
          <t>string</t>
        </is>
      </c>
      <c r="L248" s="18" t="inlineStr"/>
      <c r="M248" s="19" t="inlineStr">
        <is>
          <t>身份证号脱敏，统一前 6 后 4（现详情页只遮了后 4 位，前端需同步调整）</t>
        </is>
      </c>
      <c r="N248" s="19" t="inlineStr">
        <is>
          <t>110101********1000</t>
        </is>
      </c>
      <c r="O248" s="19" t="inlineStr"/>
      <c r="P248" s="15" t="n"/>
    </row>
    <row r="249" ht="17.5" customHeight="1">
      <c r="A249" s="15" t="n"/>
      <c r="B249" s="15" t="n"/>
      <c r="C249" s="15" t="n"/>
      <c r="D249" s="15" t="n"/>
      <c r="E249" s="15" t="n"/>
      <c r="F249" s="15" t="n"/>
      <c r="G249" s="15" t="n"/>
      <c r="H249" s="18" t="inlineStr">
        <is>
          <t>出参</t>
        </is>
      </c>
      <c r="I249" s="19" t="inlineStr">
        <is>
          <t>data</t>
        </is>
      </c>
      <c r="J249" s="19" t="inlineStr">
        <is>
          <t>ethnicity</t>
        </is>
      </c>
      <c r="K249" s="19" t="inlineStr">
        <is>
          <t>string</t>
        </is>
      </c>
      <c r="L249" s="18" t="inlineStr"/>
      <c r="M249" s="19" t="inlineStr">
        <is>
          <t>民族</t>
        </is>
      </c>
      <c r="N249" s="19" t="inlineStr">
        <is>
          <t>汉族</t>
        </is>
      </c>
      <c r="O249" s="19" t="inlineStr"/>
      <c r="P249" s="15" t="n"/>
    </row>
    <row r="250" ht="17.5" customHeight="1">
      <c r="A250" s="15" t="n"/>
      <c r="B250" s="15" t="n"/>
      <c r="C250" s="15" t="n"/>
      <c r="D250" s="15" t="n"/>
      <c r="E250" s="15" t="n"/>
      <c r="F250" s="15" t="n"/>
      <c r="G250" s="15" t="n"/>
      <c r="H250" s="18" t="inlineStr">
        <is>
          <t>出参</t>
        </is>
      </c>
      <c r="I250" s="19" t="inlineStr">
        <is>
          <t>data</t>
        </is>
      </c>
      <c r="J250" s="19" t="inlineStr">
        <is>
          <t>maritalStatus</t>
        </is>
      </c>
      <c r="K250" s="19" t="inlineStr">
        <is>
          <t>enum</t>
        </is>
      </c>
      <c r="L250" s="18" t="inlineStr"/>
      <c r="M250" s="19" t="inlineStr">
        <is>
          <t>婚史</t>
        </is>
      </c>
      <c r="N250" s="19" t="inlineStr">
        <is>
          <t>married</t>
        </is>
      </c>
      <c r="O250" s="19" t="inlineStr"/>
      <c r="P250" s="15" t="n"/>
    </row>
    <row r="251" ht="17.5" customHeight="1">
      <c r="A251" s="15" t="n"/>
      <c r="B251" s="15" t="n"/>
      <c r="C251" s="15" t="n"/>
      <c r="D251" s="15" t="n"/>
      <c r="E251" s="15" t="n"/>
      <c r="F251" s="15" t="n"/>
      <c r="G251" s="15" t="n"/>
      <c r="H251" s="18" t="inlineStr">
        <is>
          <t>出参</t>
        </is>
      </c>
      <c r="I251" s="19" t="inlineStr">
        <is>
          <t>data</t>
        </is>
      </c>
      <c r="J251" s="19" t="inlineStr">
        <is>
          <t>birthDate</t>
        </is>
      </c>
      <c r="K251" s="19" t="inlineStr">
        <is>
          <t>date</t>
        </is>
      </c>
      <c r="L251" s="18" t="inlineStr"/>
      <c r="M251" s="19" t="inlineStr">
        <is>
          <t>出生日期</t>
        </is>
      </c>
      <c r="N251" s="19" t="inlineStr">
        <is>
          <t>1958-01-01</t>
        </is>
      </c>
      <c r="O251" s="19" t="inlineStr"/>
      <c r="P251" s="15" t="n"/>
    </row>
    <row r="252" ht="17.5" customHeight="1">
      <c r="A252" s="15" t="n"/>
      <c r="B252" s="15" t="n"/>
      <c r="C252" s="15" t="n"/>
      <c r="D252" s="15" t="n"/>
      <c r="E252" s="15" t="n"/>
      <c r="F252" s="15" t="n"/>
      <c r="G252" s="15" t="n"/>
      <c r="H252" s="18" t="inlineStr">
        <is>
          <t>出参</t>
        </is>
      </c>
      <c r="I252" s="19" t="inlineStr">
        <is>
          <t>data</t>
        </is>
      </c>
      <c r="J252" s="19" t="inlineStr">
        <is>
          <t>subtype</t>
        </is>
      </c>
      <c r="K252" s="19" t="inlineStr">
        <is>
          <t>string</t>
        </is>
      </c>
      <c r="L252" s="18" t="inlineStr"/>
      <c r="M252" s="19" t="inlineStr">
        <is>
          <t>疾病分型（字段来源待确认）</t>
        </is>
      </c>
      <c r="N252" s="19" t="inlineStr">
        <is>
          <t>null</t>
        </is>
      </c>
      <c r="O252" s="19" t="inlineStr"/>
      <c r="P252" s="15" t="n"/>
    </row>
    <row r="253" ht="17.5" customHeight="1">
      <c r="A253" s="15" t="n"/>
      <c r="B253" s="15" t="n"/>
      <c r="C253" s="15" t="n"/>
      <c r="D253" s="15" t="n"/>
      <c r="E253" s="15" t="n"/>
      <c r="F253" s="15" t="n"/>
      <c r="G253" s="15" t="n"/>
      <c r="H253" s="18" t="inlineStr">
        <is>
          <t>出参</t>
        </is>
      </c>
      <c r="I253" s="19" t="inlineStr">
        <is>
          <t>data</t>
        </is>
      </c>
      <c r="J253" s="19" t="inlineStr">
        <is>
          <t>createdDate</t>
        </is>
      </c>
      <c r="K253" s="19" t="inlineStr">
        <is>
          <t>date</t>
        </is>
      </c>
      <c r="L253" s="18" t="inlineStr"/>
      <c r="M253" s="19" t="inlineStr">
        <is>
          <t>建档日期</t>
        </is>
      </c>
      <c r="N253" s="19" t="inlineStr">
        <is>
          <t>2026-01-01</t>
        </is>
      </c>
      <c r="O253" s="19" t="inlineStr"/>
      <c r="P253" s="15" t="n"/>
    </row>
    <row r="254" ht="17.5" customHeight="1">
      <c r="A254" s="15" t="n"/>
      <c r="B254" s="15" t="n"/>
      <c r="C254" s="15" t="n"/>
      <c r="D254" s="15" t="n"/>
      <c r="E254" s="15" t="n"/>
      <c r="F254" s="15" t="n"/>
      <c r="G254" s="15" t="n"/>
      <c r="H254" s="18" t="inlineStr">
        <is>
          <t>出参</t>
        </is>
      </c>
      <c r="I254" s="19" t="inlineStr">
        <is>
          <t>data</t>
        </is>
      </c>
      <c r="J254" s="19" t="inlineStr">
        <is>
          <t>followStartDate</t>
        </is>
      </c>
      <c r="K254" s="19" t="inlineStr">
        <is>
          <t>date</t>
        </is>
      </c>
      <c r="L254" s="18" t="inlineStr"/>
      <c r="M254" s="19" t="inlineStr">
        <is>
          <t>随访观察起始</t>
        </is>
      </c>
      <c r="N254" s="19" t="inlineStr">
        <is>
          <t>2026-01-01</t>
        </is>
      </c>
      <c r="O254" s="19" t="inlineStr"/>
      <c r="P254" s="15" t="n"/>
    </row>
    <row r="255" ht="17.5" customHeight="1">
      <c r="A255" s="15" t="n"/>
      <c r="B255" s="15" t="n"/>
      <c r="C255" s="15" t="n"/>
      <c r="D255" s="15" t="n"/>
      <c r="E255" s="15" t="n"/>
      <c r="F255" s="15" t="n"/>
      <c r="G255" s="15" t="n"/>
      <c r="H255" s="18" t="inlineStr">
        <is>
          <t>出参</t>
        </is>
      </c>
      <c r="I255" s="19" t="inlineStr">
        <is>
          <t>data</t>
        </is>
      </c>
      <c r="J255" s="19" t="inlineStr">
        <is>
          <t>diagnosisDate</t>
        </is>
      </c>
      <c r="K255" s="19" t="inlineStr">
        <is>
          <t>date</t>
        </is>
      </c>
      <c r="L255" s="18" t="inlineStr"/>
      <c r="M255" s="19" t="inlineStr">
        <is>
          <t>确诊日期（取基线访视 HIS.diagnosis_date）</t>
        </is>
      </c>
      <c r="N255" s="19" t="inlineStr">
        <is>
          <t>2019-05-01</t>
        </is>
      </c>
      <c r="O255" s="19" t="inlineStr"/>
      <c r="P255" s="15" t="n"/>
    </row>
    <row r="256" ht="17.5" customHeight="1">
      <c r="A256" s="15" t="n"/>
      <c r="B256" s="15" t="n"/>
      <c r="C256" s="15" t="n"/>
      <c r="D256" s="15" t="n"/>
      <c r="E256" s="15" t="n"/>
      <c r="F256" s="15" t="n"/>
      <c r="G256" s="15" t="n"/>
      <c r="H256" s="18" t="inlineStr">
        <is>
          <t>出参</t>
        </is>
      </c>
      <c r="I256" s="19" t="inlineStr">
        <is>
          <t>data</t>
        </is>
      </c>
      <c r="J256" s="19" t="inlineStr">
        <is>
          <t>onsetDate</t>
        </is>
      </c>
      <c r="K256" s="19" t="inlineStr">
        <is>
          <t>date</t>
        </is>
      </c>
      <c r="L256" s="18" t="inlineStr"/>
      <c r="M256" s="19" t="inlineStr">
        <is>
          <t>发病时间（取基线访视 HIS.onset_date）</t>
        </is>
      </c>
      <c r="N256" s="19" t="inlineStr">
        <is>
          <t>2018-11-01</t>
        </is>
      </c>
      <c r="O256" s="19" t="inlineStr"/>
      <c r="P256" s="15" t="n"/>
    </row>
    <row r="257" ht="17.5" customHeight="1">
      <c r="A257" s="15" t="n"/>
      <c r="B257" s="15" t="n"/>
      <c r="C257" s="15" t="n"/>
      <c r="D257" s="15" t="n"/>
      <c r="E257" s="15" t="n"/>
      <c r="F257" s="15" t="n"/>
      <c r="G257" s="15" t="n"/>
      <c r="H257" s="18" t="inlineStr">
        <is>
          <t>出参</t>
        </is>
      </c>
      <c r="I257" s="19" t="inlineStr">
        <is>
          <t>data</t>
        </is>
      </c>
      <c r="J257" s="19" t="inlineStr">
        <is>
          <t>followCycle</t>
        </is>
      </c>
      <c r="K257" s="19" t="inlineStr">
        <is>
          <t>integer</t>
        </is>
      </c>
      <c r="L257" s="18" t="inlineStr"/>
      <c r="M257" s="19" t="inlineStr">
        <is>
          <t>随访周期（月）</t>
        </is>
      </c>
      <c r="N257" s="19" t="inlineStr">
        <is>
          <t>3</t>
        </is>
      </c>
      <c r="O257" s="19" t="inlineStr"/>
      <c r="P257" s="15" t="n"/>
    </row>
    <row r="258" ht="31" customHeight="1">
      <c r="A258" s="15" t="n"/>
      <c r="B258" s="15" t="n"/>
      <c r="C258" s="15" t="n"/>
      <c r="D258" s="15" t="n"/>
      <c r="E258" s="15" t="n"/>
      <c r="F258" s="15" t="n"/>
      <c r="G258" s="15" t="n"/>
      <c r="H258" s="18" t="inlineStr">
        <is>
          <t>出参</t>
        </is>
      </c>
      <c r="I258" s="19" t="inlineStr">
        <is>
          <t>data</t>
        </is>
      </c>
      <c r="J258" s="19" t="inlineStr">
        <is>
          <t>nextFollowup.dueDate</t>
        </is>
      </c>
      <c r="K258" s="19" t="inlineStr">
        <is>
          <t>date</t>
        </is>
      </c>
      <c r="L258" s="18" t="inlineStr"/>
      <c r="M258" s="19" t="inlineStr">
        <is>
          <t>下次随访日期；无访视或已脱落时 nextFollowup=null</t>
        </is>
      </c>
      <c r="N258" s="19" t="inlineStr">
        <is>
          <t>2026-12-08</t>
        </is>
      </c>
      <c r="O258" s="19" t="inlineStr"/>
      <c r="P258" s="15" t="n"/>
    </row>
    <row r="259" ht="17.5" customHeight="1">
      <c r="A259" s="15" t="n"/>
      <c r="B259" s="15" t="n"/>
      <c r="C259" s="15" t="n"/>
      <c r="D259" s="15" t="n"/>
      <c r="E259" s="15" t="n"/>
      <c r="F259" s="15" t="n"/>
      <c r="G259" s="15" t="n"/>
      <c r="H259" s="18" t="inlineStr">
        <is>
          <t>出参</t>
        </is>
      </c>
      <c r="I259" s="19" t="inlineStr">
        <is>
          <t>data</t>
        </is>
      </c>
      <c r="J259" s="19" t="inlineStr">
        <is>
          <t>nextFollowup.days</t>
        </is>
      </c>
      <c r="K259" s="19" t="inlineStr">
        <is>
          <t>integer</t>
        </is>
      </c>
      <c r="L259" s="18" t="inlineStr"/>
      <c r="M259" s="19" t="inlineStr">
        <is>
          <t>距今天数，负数=已逾期</t>
        </is>
      </c>
      <c r="N259" s="19" t="inlineStr">
        <is>
          <t>69</t>
        </is>
      </c>
      <c r="O259" s="19" t="inlineStr"/>
      <c r="P259" s="15" t="n"/>
    </row>
    <row r="260" ht="17.5" customHeight="1">
      <c r="A260" s="15" t="n"/>
      <c r="B260" s="15" t="n"/>
      <c r="C260" s="15" t="n"/>
      <c r="D260" s="15" t="n"/>
      <c r="E260" s="15" t="n"/>
      <c r="F260" s="15" t="n"/>
      <c r="G260" s="15" t="n"/>
      <c r="H260" s="18" t="inlineStr">
        <is>
          <t>出参</t>
        </is>
      </c>
      <c r="I260" s="19" t="inlineStr">
        <is>
          <t>data</t>
        </is>
      </c>
      <c r="J260" s="19" t="inlineStr">
        <is>
          <t>nextFollowup.status</t>
        </is>
      </c>
      <c r="K260" s="19" t="inlineStr">
        <is>
          <t>enum</t>
        </is>
      </c>
      <c r="L260" s="18" t="inlineStr"/>
      <c r="M260" s="19" t="inlineStr">
        <is>
          <t>overdue / soon / later</t>
        </is>
      </c>
      <c r="N260" s="19" t="inlineStr">
        <is>
          <t>later</t>
        </is>
      </c>
      <c r="O260" s="19" t="inlineStr"/>
      <c r="P260" s="15" t="n"/>
    </row>
    <row r="261" ht="17.5" customHeight="1">
      <c r="A261" s="15" t="n"/>
      <c r="B261" s="15" t="n"/>
      <c r="C261" s="15" t="n"/>
      <c r="D261" s="15" t="n"/>
      <c r="E261" s="15" t="n"/>
      <c r="F261" s="15" t="n"/>
      <c r="G261" s="15" t="n"/>
      <c r="H261" s="18" t="inlineStr">
        <is>
          <t>出参</t>
        </is>
      </c>
      <c r="I261" s="19" t="inlineStr">
        <is>
          <t>data</t>
        </is>
      </c>
      <c r="J261" s="19" t="inlineStr">
        <is>
          <t>followStatus</t>
        </is>
      </c>
      <c r="K261" s="19" t="inlineStr">
        <is>
          <t>enum</t>
        </is>
      </c>
      <c r="L261" s="18" t="inlineStr"/>
      <c r="M261" s="19" t="inlineStr">
        <is>
          <t>随访状态</t>
        </is>
      </c>
      <c r="N261" s="19" t="inlineStr">
        <is>
          <t>active</t>
        </is>
      </c>
      <c r="O261" s="19" t="inlineStr"/>
      <c r="P261" s="15" t="n"/>
    </row>
    <row r="262" ht="17.5" customHeight="1">
      <c r="A262" s="15" t="n"/>
      <c r="B262" s="15" t="n"/>
      <c r="C262" s="15" t="n"/>
      <c r="D262" s="15" t="n"/>
      <c r="E262" s="15" t="n"/>
      <c r="F262" s="15" t="n"/>
      <c r="G262" s="15" t="n"/>
      <c r="H262" s="18" t="inlineStr">
        <is>
          <t>出参</t>
        </is>
      </c>
      <c r="I262" s="19" t="inlineStr">
        <is>
          <t>data</t>
        </is>
      </c>
      <c r="J262" s="19" t="inlineStr">
        <is>
          <t>followStatusLabel</t>
        </is>
      </c>
      <c r="K262" s="19" t="inlineStr">
        <is>
          <t>string</t>
        </is>
      </c>
      <c r="L262" s="18" t="inlineStr"/>
      <c r="M262" s="19" t="inlineStr">
        <is>
          <t>随访状态中文</t>
        </is>
      </c>
      <c r="N262" s="19" t="inlineStr">
        <is>
          <t>随访中</t>
        </is>
      </c>
      <c r="O262" s="19" t="inlineStr"/>
      <c r="P262" s="15" t="n"/>
    </row>
    <row r="263" ht="17.5" customHeight="1">
      <c r="A263" s="15" t="n"/>
      <c r="B263" s="15" t="n"/>
      <c r="C263" s="15" t="n"/>
      <c r="D263" s="15" t="n"/>
      <c r="E263" s="15" t="n"/>
      <c r="F263" s="15" t="n"/>
      <c r="G263" s="15" t="n"/>
      <c r="H263" s="18" t="inlineStr">
        <is>
          <t>出参</t>
        </is>
      </c>
      <c r="I263" s="19" t="inlineStr">
        <is>
          <t>data</t>
        </is>
      </c>
      <c r="J263" s="19" t="inlineStr">
        <is>
          <t>withdrawal.date</t>
        </is>
      </c>
      <c r="K263" s="19" t="inlineStr">
        <is>
          <t>date</t>
        </is>
      </c>
      <c r="L263" s="18" t="inlineStr"/>
      <c r="M263" s="19" t="inlineStr">
        <is>
          <t>脱落日期（未脱落时 withdrawal=null）</t>
        </is>
      </c>
      <c r="N263" s="19" t="inlineStr">
        <is>
          <t>2026-06-18</t>
        </is>
      </c>
      <c r="O263" s="19" t="inlineStr"/>
      <c r="P263" s="15" t="n"/>
    </row>
    <row r="264" ht="17.5" customHeight="1">
      <c r="A264" s="15" t="n"/>
      <c r="B264" s="15" t="n"/>
      <c r="C264" s="15" t="n"/>
      <c r="D264" s="15" t="n"/>
      <c r="E264" s="15" t="n"/>
      <c r="F264" s="15" t="n"/>
      <c r="G264" s="15" t="n"/>
      <c r="H264" s="18" t="inlineStr">
        <is>
          <t>出参</t>
        </is>
      </c>
      <c r="I264" s="19" t="inlineStr">
        <is>
          <t>data</t>
        </is>
      </c>
      <c r="J264" s="19" t="inlineStr">
        <is>
          <t>withdrawal.reason</t>
        </is>
      </c>
      <c r="K264" s="19" t="inlineStr">
        <is>
          <t>string</t>
        </is>
      </c>
      <c r="L264" s="18" t="inlineStr"/>
      <c r="M264" s="19" t="inlineStr">
        <is>
          <t>脱落原因（页面「脱落原因：…」）</t>
        </is>
      </c>
      <c r="N264" s="19" t="inlineStr">
        <is>
          <t>失访</t>
        </is>
      </c>
      <c r="O264" s="19" t="inlineStr"/>
      <c r="P264" s="15" t="n"/>
    </row>
    <row r="265" ht="17.5" customHeight="1">
      <c r="A265" s="15" t="n"/>
      <c r="B265" s="15" t="n"/>
      <c r="C265" s="15" t="n"/>
      <c r="D265" s="15" t="n"/>
      <c r="E265" s="15" t="n"/>
      <c r="F265" s="15" t="n"/>
      <c r="G265" s="15" t="n"/>
      <c r="H265" s="18" t="inlineStr">
        <is>
          <t>出参</t>
        </is>
      </c>
      <c r="I265" s="19" t="inlineStr">
        <is>
          <t>data</t>
        </is>
      </c>
      <c r="J265" s="19" t="inlineStr">
        <is>
          <t>latestDas28</t>
        </is>
      </c>
      <c r="K265" s="19" t="inlineStr">
        <is>
          <t>number</t>
        </is>
      </c>
      <c r="L265" s="18" t="inlineStr"/>
      <c r="M265" s="19" t="inlineStr">
        <is>
          <t>最近一次 DAS28</t>
        </is>
      </c>
      <c r="N265" s="19" t="inlineStr">
        <is>
          <t>3.4</t>
        </is>
      </c>
      <c r="O265" s="19" t="inlineStr"/>
      <c r="P265" s="15" t="n"/>
    </row>
    <row r="266" ht="17.5" customHeight="1">
      <c r="A266" s="15" t="n"/>
      <c r="B266" s="15" t="n"/>
      <c r="C266" s="15" t="n"/>
      <c r="D266" s="15" t="n"/>
      <c r="E266" s="15" t="n"/>
      <c r="F266" s="15" t="n"/>
      <c r="G266" s="15" t="n"/>
      <c r="H266" s="18" t="inlineStr">
        <is>
          <t>出参</t>
        </is>
      </c>
      <c r="I266" s="19" t="inlineStr">
        <is>
          <t>data</t>
        </is>
      </c>
      <c r="J266" s="19" t="inlineStr">
        <is>
          <t>heightCm</t>
        </is>
      </c>
      <c r="K266" s="19" t="inlineStr">
        <is>
          <t>number</t>
        </is>
      </c>
      <c r="L266" s="18" t="inlineStr"/>
      <c r="M266" s="19" t="inlineStr">
        <is>
          <t>身高</t>
        </is>
      </c>
      <c r="N266" s="19" t="inlineStr">
        <is>
          <t>172.0</t>
        </is>
      </c>
      <c r="O266" s="19" t="inlineStr"/>
      <c r="P266" s="15" t="n"/>
    </row>
    <row r="267" ht="17.5" customHeight="1">
      <c r="A267" s="15" t="n"/>
      <c r="B267" s="15" t="n"/>
      <c r="C267" s="15" t="n"/>
      <c r="D267" s="15" t="n"/>
      <c r="E267" s="15" t="n"/>
      <c r="F267" s="15" t="n"/>
      <c r="G267" s="15" t="n"/>
      <c r="H267" s="18" t="inlineStr">
        <is>
          <t>出参</t>
        </is>
      </c>
      <c r="I267" s="19" t="inlineStr">
        <is>
          <t>data</t>
        </is>
      </c>
      <c r="J267" s="19" t="inlineStr">
        <is>
          <t>weightKg</t>
        </is>
      </c>
      <c r="K267" s="19" t="inlineStr">
        <is>
          <t>number</t>
        </is>
      </c>
      <c r="L267" s="18" t="inlineStr"/>
      <c r="M267" s="19" t="inlineStr">
        <is>
          <t>体重</t>
        </is>
      </c>
      <c r="N267" s="19" t="inlineStr">
        <is>
          <t>65.5</t>
        </is>
      </c>
      <c r="O267" s="19" t="inlineStr"/>
      <c r="P267" s="15" t="n"/>
    </row>
    <row r="268" ht="17.5" customHeight="1">
      <c r="A268" s="15" t="n"/>
      <c r="B268" s="15" t="n"/>
      <c r="C268" s="15" t="n"/>
      <c r="D268" s="15" t="n"/>
      <c r="E268" s="15" t="n"/>
      <c r="F268" s="15" t="n"/>
      <c r="G268" s="15" t="n"/>
      <c r="H268" s="18" t="inlineStr">
        <is>
          <t>出参</t>
        </is>
      </c>
      <c r="I268" s="19" t="inlineStr">
        <is>
          <t>data</t>
        </is>
      </c>
      <c r="J268" s="19" t="inlineStr">
        <is>
          <t>bmi</t>
        </is>
      </c>
      <c r="K268" s="19" t="inlineStr">
        <is>
          <t>number</t>
        </is>
      </c>
      <c r="L268" s="18" t="inlineStr"/>
      <c r="M268" s="19" t="inlineStr">
        <is>
          <t>BMI，服务端计算，1 位小数</t>
        </is>
      </c>
      <c r="N268" s="19" t="inlineStr">
        <is>
          <t>22.1</t>
        </is>
      </c>
      <c r="O268" s="19" t="inlineStr"/>
      <c r="P268" s="15" t="n"/>
    </row>
    <row r="269" ht="31" customHeight="1">
      <c r="A269" s="15" t="n"/>
      <c r="B269" s="15" t="n"/>
      <c r="C269" s="15" t="n"/>
      <c r="D269" s="15" t="n"/>
      <c r="E269" s="15" t="n"/>
      <c r="F269" s="15" t="n"/>
      <c r="G269" s="15" t="n"/>
      <c r="H269" s="18" t="inlineStr">
        <is>
          <t>出参</t>
        </is>
      </c>
      <c r="I269" s="19" t="inlineStr">
        <is>
          <t>data</t>
        </is>
      </c>
      <c r="J269" s="19" t="inlineStr">
        <is>
          <t>smoking</t>
        </is>
      </c>
      <c r="K269" s="19" t="inlineStr">
        <is>
          <t>string</t>
        </is>
      </c>
      <c r="L269" s="18" t="inlineStr"/>
      <c r="M269" s="19" t="inlineStr">
        <is>
          <t>吸烟史（取最近一次有值的访视 HIS.smoking 显示文字）</t>
        </is>
      </c>
      <c r="N269" s="19" t="inlineStr">
        <is>
          <t>从不吸烟</t>
        </is>
      </c>
      <c r="O269" s="19" t="inlineStr"/>
      <c r="P269" s="15" t="n"/>
    </row>
    <row r="270" ht="17.5" customHeight="1">
      <c r="A270" s="15" t="n"/>
      <c r="B270" s="15" t="n"/>
      <c r="C270" s="15" t="n"/>
      <c r="D270" s="15" t="n"/>
      <c r="E270" s="15" t="n"/>
      <c r="F270" s="15" t="n"/>
      <c r="G270" s="15" t="n"/>
      <c r="H270" s="18" t="inlineStr">
        <is>
          <t>出参</t>
        </is>
      </c>
      <c r="I270" s="19" t="inlineStr">
        <is>
          <t>data</t>
        </is>
      </c>
      <c r="J270" s="19" t="inlineStr">
        <is>
          <t>allergy</t>
        </is>
      </c>
      <c r="K270" s="19" t="inlineStr">
        <is>
          <t>string</t>
        </is>
      </c>
      <c r="L270" s="18" t="inlineStr"/>
      <c r="M270" s="19" t="inlineStr">
        <is>
          <t>过敏史（同上 HIS.allergy）</t>
        </is>
      </c>
      <c r="N270" s="19" t="inlineStr">
        <is>
          <t>青霉素过敏</t>
        </is>
      </c>
      <c r="O270" s="19" t="inlineStr"/>
      <c r="P270" s="15" t="n"/>
    </row>
    <row r="271" ht="17.5" customHeight="1">
      <c r="A271" s="15" t="n"/>
      <c r="B271" s="15" t="n"/>
      <c r="C271" s="15" t="n"/>
      <c r="D271" s="15" t="n"/>
      <c r="E271" s="15" t="n"/>
      <c r="F271" s="15" t="n"/>
      <c r="G271" s="15" t="n"/>
      <c r="H271" s="18" t="inlineStr">
        <is>
          <t>出参</t>
        </is>
      </c>
      <c r="I271" s="19" t="inlineStr">
        <is>
          <t>data</t>
        </is>
      </c>
      <c r="J271" s="19" t="inlineStr">
        <is>
          <t>familyHistory</t>
        </is>
      </c>
      <c r="K271" s="19" t="inlineStr">
        <is>
          <t>string</t>
        </is>
      </c>
      <c r="L271" s="18" t="inlineStr"/>
      <c r="M271" s="19" t="inlineStr">
        <is>
          <t>家族史（同上 HIS.family_history）</t>
        </is>
      </c>
      <c r="N271" s="19" t="inlineStr">
        <is>
          <t>无</t>
        </is>
      </c>
      <c r="O271" s="19" t="inlineStr"/>
      <c r="P271" s="15" t="n"/>
    </row>
    <row r="272" ht="17.5" customHeight="1">
      <c r="A272" s="15" t="n"/>
      <c r="B272" s="15" t="n"/>
      <c r="C272" s="15" t="n"/>
      <c r="D272" s="15" t="n"/>
      <c r="E272" s="15" t="n"/>
      <c r="F272" s="15" t="n"/>
      <c r="G272" s="15" t="n"/>
      <c r="H272" s="18" t="inlineStr">
        <is>
          <t>出参</t>
        </is>
      </c>
      <c r="I272" s="19" t="inlineStr">
        <is>
          <t>data</t>
        </is>
      </c>
      <c r="J272" s="19" t="inlineStr">
        <is>
          <t>comorbidities[]</t>
        </is>
      </c>
      <c r="K272" s="19" t="inlineStr">
        <is>
          <t>array</t>
        </is>
      </c>
      <c r="L272" s="18" t="inlineStr"/>
      <c r="M272" s="19" t="inlineStr">
        <is>
          <t>结构同 PT01 items[].comorbidities</t>
        </is>
      </c>
      <c r="N272" s="19" t="inlineStr"/>
      <c r="O272" s="19" t="inlineStr"/>
      <c r="P272" s="15" t="n"/>
    </row>
    <row r="273" ht="31" customHeight="1">
      <c r="A273" s="15" t="n"/>
      <c r="B273" s="15" t="n"/>
      <c r="C273" s="15" t="n"/>
      <c r="D273" s="15" t="n"/>
      <c r="E273" s="15" t="n"/>
      <c r="F273" s="15" t="n"/>
      <c r="G273" s="15" t="n"/>
      <c r="H273" s="18" t="inlineStr">
        <is>
          <t>出参</t>
        </is>
      </c>
      <c r="I273" s="19" t="inlineStr">
        <is>
          <t>data</t>
        </is>
      </c>
      <c r="J273" s="19" t="inlineStr">
        <is>
          <t>comorbidityConfirmedNone</t>
        </is>
      </c>
      <c r="K273" s="19" t="inlineStr">
        <is>
          <t>boolean</t>
        </is>
      </c>
      <c r="L273" s="18" t="inlineStr"/>
      <c r="M273" s="19" t="inlineStr">
        <is>
          <t>已确认无常见相关疾病（页面显示「无 · 已确认」）</t>
        </is>
      </c>
      <c r="N273" s="19" t="inlineStr">
        <is>
          <t>false</t>
        </is>
      </c>
      <c r="O273" s="19" t="inlineStr"/>
      <c r="P273" s="15" t="n"/>
    </row>
    <row r="274" ht="17.5" customHeight="1">
      <c r="A274" s="15" t="n"/>
      <c r="B274" s="15" t="n"/>
      <c r="C274" s="15" t="n"/>
      <c r="D274" s="15" t="n"/>
      <c r="E274" s="15" t="n"/>
      <c r="F274" s="15" t="n"/>
      <c r="G274" s="15" t="n"/>
      <c r="H274" s="18" t="inlineStr">
        <is>
          <t>出参</t>
        </is>
      </c>
      <c r="I274" s="19" t="inlineStr">
        <is>
          <t>data</t>
        </is>
      </c>
      <c r="J274" s="19" t="inlineStr">
        <is>
          <t>incompleteItems</t>
        </is>
      </c>
      <c r="K274" s="19" t="inlineStr">
        <is>
          <t>string[]</t>
        </is>
      </c>
      <c r="L274" s="18" t="inlineStr"/>
      <c r="M274" s="19" t="inlineStr">
        <is>
          <t>资料待补全项（其他病史区块显示）</t>
        </is>
      </c>
      <c r="N274" s="19" t="inlineStr">
        <is>
          <t>["缺用药史"]</t>
        </is>
      </c>
      <c r="O274" s="19" t="inlineStr"/>
      <c r="P274" s="15" t="n"/>
    </row>
    <row r="275" ht="17.5" customHeight="1">
      <c r="A275" s="15" t="n"/>
      <c r="B275" s="15" t="n"/>
      <c r="C275" s="15" t="n"/>
      <c r="D275" s="15" t="n"/>
      <c r="E275" s="15" t="n"/>
      <c r="F275" s="15" t="n"/>
      <c r="G275" s="15" t="n"/>
      <c r="H275" s="18" t="inlineStr">
        <is>
          <t>出参</t>
        </is>
      </c>
      <c r="I275" s="19" t="inlineStr">
        <is>
          <t>data</t>
        </is>
      </c>
      <c r="J275" s="19" t="inlineStr">
        <is>
          <t>rowVersion</t>
        </is>
      </c>
      <c r="K275" s="19" t="inlineStr">
        <is>
          <t>integer</t>
        </is>
      </c>
      <c r="L275" s="18" t="inlineStr"/>
      <c r="M275" s="19" t="inlineStr">
        <is>
          <t>数据版本号，编辑时回传</t>
        </is>
      </c>
      <c r="N275" s="19" t="inlineStr">
        <is>
          <t>7</t>
        </is>
      </c>
      <c r="O275" s="19" t="inlineStr"/>
      <c r="P275" s="15" t="n"/>
    </row>
    <row r="276" ht="85" customHeight="1">
      <c r="A276" s="15" t="n"/>
      <c r="B276" s="15" t="n"/>
      <c r="C276" s="15" t="n"/>
      <c r="D276" s="15" t="n"/>
      <c r="E276" s="15" t="n"/>
      <c r="F276" s="15" t="n"/>
      <c r="G276" s="15" t="n"/>
      <c r="H276" s="20" t="inlineStr">
        <is>
          <t>页面口径</t>
        </is>
      </c>
      <c r="I276" s="21" t="inlineStr">
        <is>
          <t>—</t>
        </is>
      </c>
      <c r="J276" s="21" t="inlineStr">
        <is>
          <t>nextFollowup.dueDate / days / status</t>
        </is>
      </c>
      <c r="K276" s="21" t="inlineStr">
        <is>
          <t>整数天</t>
        </is>
      </c>
      <c r="L276" s="20" t="inlineStr"/>
      <c r="M276" s="21" t="inlineStr">
        <is>
          <t>B-03 下次随访日期 / 距今天数 / 随访计划状态
按患者随访周期推算的下一次随访</t>
        </is>
      </c>
      <c r="N276" s="21" t="inlineStr"/>
      <c r="O276" s="21" t="inlineStr">
        <is>
          <t>条件：未脱落 且 至少有 1 次已提交访视。
dueDate = 最近一次已提交访视日期 + followCycle 个自然月（目标月没有该日时取当月最后一天）。
days = dueDate − 今天。
status：days &lt; 0 → overdue；0 ≤ days ≤ 14 → soon；days &gt; 14 → later</t>
        </is>
      </c>
      <c r="P276" s="15" t="n"/>
    </row>
    <row r="277" ht="71.5" customHeight="1">
      <c r="A277" s="15" t="n"/>
      <c r="B277" s="15" t="n"/>
      <c r="C277" s="15" t="n"/>
      <c r="D277" s="15" t="n"/>
      <c r="E277" s="15" t="n"/>
      <c r="F277" s="15" t="n"/>
      <c r="G277" s="15" t="n"/>
      <c r="H277" s="20" t="inlineStr">
        <is>
          <t>页面口径</t>
        </is>
      </c>
      <c r="I277" s="21" t="inlineStr">
        <is>
          <t>—</t>
        </is>
      </c>
      <c r="J277" s="21" t="inlineStr">
        <is>
          <t>followStatus</t>
        </is>
      </c>
      <c r="K277" s="21" t="inlineStr">
        <is>
          <t>枚举</t>
        </is>
      </c>
      <c r="L277" s="20" t="inlineStr"/>
      <c r="M277" s="21" t="inlineStr">
        <is>
          <t>B-04 随访状态（患者）
患者当前随访状态（按优先级判断，命中即止）</t>
        </is>
      </c>
      <c r="N277" s="21" t="inlineStr"/>
      <c r="O277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P277" s="15" t="n"/>
    </row>
    <row r="278" ht="98.5" customHeight="1">
      <c r="A278" s="15" t="n"/>
      <c r="B278" s="15" t="n"/>
      <c r="C278" s="15" t="n"/>
      <c r="D278" s="15" t="n"/>
      <c r="E278" s="15" t="n"/>
      <c r="F278" s="15" t="n"/>
      <c r="G278" s="15" t="n"/>
      <c r="H278" s="20" t="inlineStr">
        <is>
          <t>页面口径</t>
        </is>
      </c>
      <c r="I278" s="21" t="inlineStr">
        <is>
          <t>—</t>
        </is>
      </c>
      <c r="J278" s="21" t="inlineStr">
        <is>
          <t>latestDas28</t>
        </is>
      </c>
      <c r="K278" s="21" t="inlineStr">
        <is>
          <t>1 位小数</t>
        </is>
      </c>
      <c r="L278" s="20" t="inlineStr"/>
      <c r="M278" s="21" t="inlineStr">
        <is>
          <t>B-05 最近一次 DAS28
患者最近一次有 DAS28 结果的访视值</t>
        </is>
      </c>
      <c r="N278" s="21" t="inlineStr"/>
      <c r="O278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mm）。缺任一组成项则不计算（null）。用哪个版本见待确认表。</t>
        </is>
      </c>
      <c r="P278" s="15" t="n"/>
    </row>
    <row r="279" ht="31" customHeight="1">
      <c r="A279" s="15" t="n"/>
      <c r="B279" s="15" t="n"/>
      <c r="C279" s="15" t="n"/>
      <c r="D279" s="15" t="n"/>
      <c r="E279" s="15" t="n"/>
      <c r="F279" s="15" t="n"/>
      <c r="G279" s="15" t="n"/>
      <c r="H279" s="20" t="inlineStr">
        <is>
          <t>页面口径</t>
        </is>
      </c>
      <c r="I279" s="21" t="inlineStr">
        <is>
          <t>基本信息</t>
        </is>
      </c>
      <c r="J279" s="21" t="inlineStr">
        <is>
          <t>followCycle / nextFollowup</t>
        </is>
      </c>
      <c r="K279" s="21" t="inlineStr">
        <is>
          <t>—</t>
        </is>
      </c>
      <c r="L279" s="20" t="inlineStr"/>
      <c r="M279" s="21" t="inlineStr">
        <is>
          <t>PT-10 随访周期 · 下次 YYYY-MM-DD · 已逾期 N 天 / N 天后</t>
        </is>
      </c>
      <c r="N279" s="21" t="inlineStr"/>
      <c r="O279" s="21" t="inlineStr">
        <is>
          <t>见 B-03；days &lt; 0 显示「已逾期 N 天」，0–14 显示「N 天后」，&gt;14 只显示日期</t>
        </is>
      </c>
      <c r="P279" s="15" t="n"/>
    </row>
    <row r="280" ht="17.5" customHeight="1">
      <c r="A280" s="15" t="n"/>
      <c r="B280" s="15" t="n"/>
      <c r="C280" s="15" t="n"/>
      <c r="D280" s="15" t="n"/>
      <c r="E280" s="15" t="n"/>
      <c r="F280" s="15" t="n"/>
      <c r="G280" s="15" t="n"/>
      <c r="H280" s="20" t="inlineStr">
        <is>
          <t>页面口径</t>
        </is>
      </c>
      <c r="I280" s="21" t="inlineStr">
        <is>
          <t>基本信息</t>
        </is>
      </c>
      <c r="J280" s="21" t="inlineStr">
        <is>
          <t>bmi</t>
        </is>
      </c>
      <c r="K280" s="21" t="inlineStr">
        <is>
          <t>1 位小数</t>
        </is>
      </c>
      <c r="L280" s="20" t="inlineStr"/>
      <c r="M280" s="21" t="inlineStr">
        <is>
          <t>PT-11 BMI</t>
        </is>
      </c>
      <c r="N280" s="21" t="inlineStr"/>
      <c r="O280" s="21" t="inlineStr">
        <is>
          <t>体重 kg ÷ (身高 m)²；任一缺失为 null</t>
        </is>
      </c>
      <c r="P280" s="15" t="n"/>
    </row>
    <row r="281" ht="31" customHeight="1">
      <c r="A281" s="15" t="n"/>
      <c r="B281" s="15" t="n"/>
      <c r="C281" s="15" t="n"/>
      <c r="D281" s="15" t="n"/>
      <c r="E281" s="15" t="n"/>
      <c r="F281" s="15" t="n"/>
      <c r="G281" s="15" t="n"/>
      <c r="H281" s="20" t="inlineStr">
        <is>
          <t>页面口径</t>
        </is>
      </c>
      <c r="I281" s="21" t="inlineStr">
        <is>
          <t>常见相关疾病</t>
        </is>
      </c>
      <c r="J281" s="21" t="inlineStr">
        <is>
          <t>comorbidities[].sinceYear</t>
        </is>
      </c>
      <c r="K281" s="21" t="inlineStr">
        <is>
          <t>整数</t>
        </is>
      </c>
      <c r="L281" s="20" t="inlineStr"/>
      <c r="M281" s="21" t="inlineStr">
        <is>
          <t>PT-13 N 年起 · 病程约 N 年</t>
        </is>
      </c>
      <c r="N281" s="21" t="inlineStr"/>
      <c r="O281" s="21" t="inlineStr">
        <is>
          <t>病程 = 今年 − sinceYear</t>
        </is>
      </c>
      <c r="P281" s="15" t="n"/>
    </row>
    <row r="282" ht="71.5" customHeight="1">
      <c r="A282" s="15" t="n"/>
      <c r="B282" s="15" t="n"/>
      <c r="C282" s="15" t="n"/>
      <c r="D282" s="15" t="n"/>
      <c r="E282" s="15" t="n"/>
      <c r="F282" s="15" t="n"/>
      <c r="G282" s="15" t="n"/>
      <c r="H282" s="20" t="inlineStr">
        <is>
          <t>页面口径</t>
        </is>
      </c>
      <c r="I282" s="21" t="inlineStr">
        <is>
          <t>吸烟史 / 过敏史 / 家族史 / 确诊日期 / 发病时间</t>
        </is>
      </c>
      <c r="J282" s="21" t="inlineStr">
        <is>
          <t>smoking 等</t>
        </is>
      </c>
      <c r="K282" s="21" t="inlineStr">
        <is>
          <t>—</t>
        </is>
      </c>
      <c r="L282" s="20" t="inlineStr"/>
      <c r="M282" s="21" t="inlineStr">
        <is>
          <t>PT-14 —
来自 CRF 的患者级信息</t>
        </is>
      </c>
      <c r="N282" s="21" t="inlineStr"/>
      <c r="O282" s="21" t="inlineStr">
        <is>
          <t>确诊日期、发病时间取基线访视；吸烟、过敏、家族史取最近一次有值的访视</t>
        </is>
      </c>
      <c r="P282" s="15" t="n"/>
    </row>
    <row r="283" ht="17.5" customHeight="1">
      <c r="A283" s="8" t="inlineStr">
        <is>
          <t>患者管理</t>
        </is>
      </c>
      <c r="B283" s="8" t="inlineStr">
        <is>
          <t>patient-visits.html / visit-detail.html</t>
        </is>
      </c>
      <c r="C283" s="8" t="inlineStr">
        <is>
          <t>身份证号「眼睛」按钮</t>
        </is>
      </c>
      <c r="D283" s="9" t="inlineStr">
        <is>
          <t>PT07</t>
        </is>
      </c>
      <c r="E283" s="10" t="inlineStr">
        <is>
          <t>查看敏感信息明文</t>
        </is>
      </c>
      <c r="F283" s="11" t="inlineStr">
        <is>
          <t>GET</t>
        </is>
      </c>
      <c r="G283" s="12" t="inlineStr">
        <is>
          <t>/api/v1/patients/{patientId}/sensitive</t>
        </is>
      </c>
      <c r="H283" s="13" t="inlineStr">
        <is>
          <t>入参</t>
        </is>
      </c>
      <c r="I283" s="14" t="inlineStr">
        <is>
          <t>path</t>
        </is>
      </c>
      <c r="J283" s="14" t="inlineStr">
        <is>
          <t>patientId</t>
        </is>
      </c>
      <c r="K283" s="14" t="inlineStr">
        <is>
          <t>string</t>
        </is>
      </c>
      <c r="L283" s="13" t="inlineStr">
        <is>
          <t>是</t>
        </is>
      </c>
      <c r="M283" s="14" t="inlineStr">
        <is>
          <t>ID号</t>
        </is>
      </c>
      <c r="N283" s="14" t="inlineStr">
        <is>
          <t>611991</t>
        </is>
      </c>
      <c r="O283" s="14" t="inlineStr"/>
      <c r="P283" s="8" t="inlineStr">
        <is>
          <t>每次调用写审计「查看敏感信息」（谁、何时、哪位患者、哪个字段）。无权限返回 40301，前端隐藏眼睛按钮。</t>
        </is>
      </c>
    </row>
    <row r="284" ht="17.5" customHeight="1">
      <c r="A284" s="15" t="n"/>
      <c r="B284" s="15" t="n"/>
      <c r="C284" s="15" t="n"/>
      <c r="D284" s="15" t="n"/>
      <c r="E284" s="15" t="n"/>
      <c r="F284" s="15" t="n"/>
      <c r="G284" s="15" t="n"/>
      <c r="H284" s="16" t="inlineStr">
        <is>
          <t>入参</t>
        </is>
      </c>
      <c r="I284" s="17" t="inlineStr">
        <is>
          <t>query</t>
        </is>
      </c>
      <c r="J284" s="17" t="inlineStr">
        <is>
          <t>field</t>
        </is>
      </c>
      <c r="K284" s="17" t="inlineStr">
        <is>
          <t>enum</t>
        </is>
      </c>
      <c r="L284" s="16" t="inlineStr">
        <is>
          <t>是</t>
        </is>
      </c>
      <c r="M284" s="17" t="inlineStr">
        <is>
          <t>idNumber / phone</t>
        </is>
      </c>
      <c r="N284" s="17" t="inlineStr">
        <is>
          <t>idNumber</t>
        </is>
      </c>
      <c r="O284" s="17" t="inlineStr"/>
      <c r="P284" s="15" t="n"/>
    </row>
    <row r="285" ht="17.5" customHeight="1">
      <c r="A285" s="15" t="n"/>
      <c r="B285" s="15" t="n"/>
      <c r="C285" s="15" t="n"/>
      <c r="D285" s="15" t="n"/>
      <c r="E285" s="15" t="n"/>
      <c r="F285" s="15" t="n"/>
      <c r="G285" s="15" t="n"/>
      <c r="H285" s="18" t="inlineStr">
        <is>
          <t>出参</t>
        </is>
      </c>
      <c r="I285" s="19" t="inlineStr">
        <is>
          <t>data</t>
        </is>
      </c>
      <c r="J285" s="19" t="inlineStr">
        <is>
          <t>value</t>
        </is>
      </c>
      <c r="K285" s="19" t="inlineStr">
        <is>
          <t>string</t>
        </is>
      </c>
      <c r="L285" s="18" t="inlineStr"/>
      <c r="M285" s="19" t="inlineStr">
        <is>
          <t>明文</t>
        </is>
      </c>
      <c r="N285" s="19" t="inlineStr">
        <is>
          <t>110101195801011000</t>
        </is>
      </c>
      <c r="O285" s="19" t="inlineStr"/>
      <c r="P285" s="15" t="n"/>
    </row>
    <row r="286" ht="17.5" customHeight="1">
      <c r="A286" s="8" t="inlineStr">
        <is>
          <t>患者管理</t>
        </is>
      </c>
      <c r="B286" s="8" t="inlineStr">
        <is>
          <t>patient-visits.html</t>
        </is>
      </c>
      <c r="C286" s="8" t="inlineStr">
        <is>
          <t>随访时间线</t>
        </is>
      </c>
      <c r="D286" s="9" t="inlineStr">
        <is>
          <t>PT08</t>
        </is>
      </c>
      <c r="E286" s="10" t="inlineStr">
        <is>
          <t>患者访视列表</t>
        </is>
      </c>
      <c r="F286" s="11" t="inlineStr">
        <is>
          <t>GET</t>
        </is>
      </c>
      <c r="G286" s="12" t="inlineStr">
        <is>
          <t>/api/v1/patients/{patientId}/visits</t>
        </is>
      </c>
      <c r="H286" s="13" t="inlineStr">
        <is>
          <t>入参</t>
        </is>
      </c>
      <c r="I286" s="14" t="inlineStr">
        <is>
          <t>path</t>
        </is>
      </c>
      <c r="J286" s="14" t="inlineStr">
        <is>
          <t>patientId</t>
        </is>
      </c>
      <c r="K286" s="14" t="inlineStr">
        <is>
          <t>string</t>
        </is>
      </c>
      <c r="L286" s="13" t="inlineStr">
        <is>
          <t>是</t>
        </is>
      </c>
      <c r="M286" s="14" t="inlineStr">
        <is>
          <t>ID号</t>
        </is>
      </c>
      <c r="N286" s="14" t="inlineStr">
        <is>
          <t>611991</t>
        </is>
      </c>
      <c r="O286" s="14" t="inlineStr"/>
      <c r="P286" s="8" t="inlineStr">
        <is>
          <t>按访视日期倒序；不分页（单个患者访视数量有限）。草稿也返回，前端标「草稿」。</t>
        </is>
      </c>
    </row>
    <row r="287" ht="17.5" customHeight="1">
      <c r="A287" s="15" t="n"/>
      <c r="B287" s="15" t="n"/>
      <c r="C287" s="15" t="n"/>
      <c r="D287" s="15" t="n"/>
      <c r="E287" s="15" t="n"/>
      <c r="F287" s="15" t="n"/>
      <c r="G287" s="15" t="n"/>
      <c r="H287" s="18" t="inlineStr">
        <is>
          <t>出参</t>
        </is>
      </c>
      <c r="I287" s="19" t="inlineStr">
        <is>
          <t>data</t>
        </is>
      </c>
      <c r="J287" s="19" t="inlineStr">
        <is>
          <t>total</t>
        </is>
      </c>
      <c r="K287" s="19" t="inlineStr">
        <is>
          <t>integer</t>
        </is>
      </c>
      <c r="L287" s="18" t="inlineStr"/>
      <c r="M287" s="19" t="inlineStr">
        <is>
          <t>访视次数（页面「N 次访视」）</t>
        </is>
      </c>
      <c r="N287" s="19" t="inlineStr">
        <is>
          <t>6</t>
        </is>
      </c>
      <c r="O287" s="19" t="inlineStr"/>
      <c r="P287" s="15" t="n"/>
    </row>
    <row r="288" ht="17.5" customHeight="1">
      <c r="A288" s="15" t="n"/>
      <c r="B288" s="15" t="n"/>
      <c r="C288" s="15" t="n"/>
      <c r="D288" s="15" t="n"/>
      <c r="E288" s="15" t="n"/>
      <c r="F288" s="15" t="n"/>
      <c r="G288" s="15" t="n"/>
      <c r="H288" s="18" t="inlineStr">
        <is>
          <t>出参</t>
        </is>
      </c>
      <c r="I288" s="19" t="inlineStr">
        <is>
          <t>data</t>
        </is>
      </c>
      <c r="J288" s="19" t="inlineStr">
        <is>
          <t>items[].visitId</t>
        </is>
      </c>
      <c r="K288" s="19" t="inlineStr">
        <is>
          <t>string</t>
        </is>
      </c>
      <c r="L288" s="18" t="inlineStr"/>
      <c r="M288" s="19" t="inlineStr">
        <is>
          <t>访视 ID</t>
        </is>
      </c>
      <c r="N288" s="19" t="inlineStr">
        <is>
          <t>v_20260908_001</t>
        </is>
      </c>
      <c r="O288" s="19" t="inlineStr"/>
      <c r="P288" s="15" t="n"/>
    </row>
    <row r="289" ht="17.5" customHeight="1">
      <c r="A289" s="15" t="n"/>
      <c r="B289" s="15" t="n"/>
      <c r="C289" s="15" t="n"/>
      <c r="D289" s="15" t="n"/>
      <c r="E289" s="15" t="n"/>
      <c r="F289" s="15" t="n"/>
      <c r="G289" s="15" t="n"/>
      <c r="H289" s="18" t="inlineStr">
        <is>
          <t>出参</t>
        </is>
      </c>
      <c r="I289" s="19" t="inlineStr">
        <is>
          <t>data</t>
        </is>
      </c>
      <c r="J289" s="19" t="inlineStr">
        <is>
          <t>items[].visitNo</t>
        </is>
      </c>
      <c r="K289" s="19" t="inlineStr">
        <is>
          <t>integer</t>
        </is>
      </c>
      <c r="L289" s="18" t="inlineStr"/>
      <c r="M289" s="19" t="inlineStr">
        <is>
          <t>第几次访视（基线=1）</t>
        </is>
      </c>
      <c r="N289" s="19" t="inlineStr">
        <is>
          <t>6</t>
        </is>
      </c>
      <c r="O289" s="19" t="inlineStr"/>
      <c r="P289" s="15" t="n"/>
    </row>
    <row r="290" ht="17.5" customHeight="1">
      <c r="A290" s="15" t="n"/>
      <c r="B290" s="15" t="n"/>
      <c r="C290" s="15" t="n"/>
      <c r="D290" s="15" t="n"/>
      <c r="E290" s="15" t="n"/>
      <c r="F290" s="15" t="n"/>
      <c r="G290" s="15" t="n"/>
      <c r="H290" s="18" t="inlineStr">
        <is>
          <t>出参</t>
        </is>
      </c>
      <c r="I290" s="19" t="inlineStr">
        <is>
          <t>data</t>
        </is>
      </c>
      <c r="J290" s="19" t="inlineStr">
        <is>
          <t>items[].visitType</t>
        </is>
      </c>
      <c r="K290" s="19" t="inlineStr">
        <is>
          <t>enum</t>
        </is>
      </c>
      <c r="L290" s="18" t="inlineStr"/>
      <c r="M290" s="19" t="inlineStr">
        <is>
          <t>baseline / followup / unscheduled</t>
        </is>
      </c>
      <c r="N290" s="19" t="inlineStr">
        <is>
          <t>followup</t>
        </is>
      </c>
      <c r="O290" s="19" t="inlineStr"/>
      <c r="P290" s="15" t="n"/>
    </row>
    <row r="291" ht="17.5" customHeight="1">
      <c r="A291" s="15" t="n"/>
      <c r="B291" s="15" t="n"/>
      <c r="C291" s="15" t="n"/>
      <c r="D291" s="15" t="n"/>
      <c r="E291" s="15" t="n"/>
      <c r="F291" s="15" t="n"/>
      <c r="G291" s="15" t="n"/>
      <c r="H291" s="18" t="inlineStr">
        <is>
          <t>出参</t>
        </is>
      </c>
      <c r="I291" s="19" t="inlineStr">
        <is>
          <t>data</t>
        </is>
      </c>
      <c r="J291" s="19" t="inlineStr">
        <is>
          <t>items[].visitTypeLabel</t>
        </is>
      </c>
      <c r="K291" s="19" t="inlineStr">
        <is>
          <t>string</t>
        </is>
      </c>
      <c r="L291" s="18" t="inlineStr"/>
      <c r="M291" s="19" t="inlineStr">
        <is>
          <t>中文</t>
        </is>
      </c>
      <c r="N291" s="19" t="inlineStr">
        <is>
          <t>常规随访</t>
        </is>
      </c>
      <c r="O291" s="19" t="inlineStr"/>
      <c r="P291" s="15" t="n"/>
    </row>
    <row r="292" ht="17.5" customHeight="1">
      <c r="A292" s="15" t="n"/>
      <c r="B292" s="15" t="n"/>
      <c r="C292" s="15" t="n"/>
      <c r="D292" s="15" t="n"/>
      <c r="E292" s="15" t="n"/>
      <c r="F292" s="15" t="n"/>
      <c r="G292" s="15" t="n"/>
      <c r="H292" s="18" t="inlineStr">
        <is>
          <t>出参</t>
        </is>
      </c>
      <c r="I292" s="19" t="inlineStr">
        <is>
          <t>data</t>
        </is>
      </c>
      <c r="J292" s="19" t="inlineStr">
        <is>
          <t>items[].visitDate</t>
        </is>
      </c>
      <c r="K292" s="19" t="inlineStr">
        <is>
          <t>date</t>
        </is>
      </c>
      <c r="L292" s="18" t="inlineStr"/>
      <c r="M292" s="19" t="inlineStr">
        <is>
          <t>访视日期</t>
        </is>
      </c>
      <c r="N292" s="19" t="inlineStr">
        <is>
          <t>2026-09-08</t>
        </is>
      </c>
      <c r="O292" s="19" t="inlineStr"/>
      <c r="P292" s="15" t="n"/>
    </row>
    <row r="293" ht="17.5" customHeight="1">
      <c r="A293" s="15" t="n"/>
      <c r="B293" s="15" t="n"/>
      <c r="C293" s="15" t="n"/>
      <c r="D293" s="15" t="n"/>
      <c r="E293" s="15" t="n"/>
      <c r="F293" s="15" t="n"/>
      <c r="G293" s="15" t="n"/>
      <c r="H293" s="18" t="inlineStr">
        <is>
          <t>出参</t>
        </is>
      </c>
      <c r="I293" s="19" t="inlineStr">
        <is>
          <t>data</t>
        </is>
      </c>
      <c r="J293" s="19" t="inlineStr">
        <is>
          <t>items[].method</t>
        </is>
      </c>
      <c r="K293" s="19" t="inlineStr">
        <is>
          <t>enum</t>
        </is>
      </c>
      <c r="L293" s="18" t="inlineStr"/>
      <c r="M293" s="19" t="inlineStr">
        <is>
          <t>访视方式，见枚举 visitMethod</t>
        </is>
      </c>
      <c r="N293" s="19" t="inlineStr">
        <is>
          <t>outpatient</t>
        </is>
      </c>
      <c r="O293" s="19" t="inlineStr"/>
      <c r="P293" s="15" t="n"/>
    </row>
    <row r="294" ht="17.5" customHeight="1">
      <c r="A294" s="15" t="n"/>
      <c r="B294" s="15" t="n"/>
      <c r="C294" s="15" t="n"/>
      <c r="D294" s="15" t="n"/>
      <c r="E294" s="15" t="n"/>
      <c r="F294" s="15" t="n"/>
      <c r="G294" s="15" t="n"/>
      <c r="H294" s="18" t="inlineStr">
        <is>
          <t>出参</t>
        </is>
      </c>
      <c r="I294" s="19" t="inlineStr">
        <is>
          <t>data</t>
        </is>
      </c>
      <c r="J294" s="19" t="inlineStr">
        <is>
          <t>items[].methodLabel</t>
        </is>
      </c>
      <c r="K294" s="19" t="inlineStr">
        <is>
          <t>string</t>
        </is>
      </c>
      <c r="L294" s="18" t="inlineStr"/>
      <c r="M294" s="19" t="inlineStr">
        <is>
          <t>中文</t>
        </is>
      </c>
      <c r="N294" s="19" t="inlineStr">
        <is>
          <t>门诊随访</t>
        </is>
      </c>
      <c r="O294" s="19" t="inlineStr"/>
      <c r="P294" s="15" t="n"/>
    </row>
    <row r="295" ht="17.5" customHeight="1">
      <c r="A295" s="15" t="n"/>
      <c r="B295" s="15" t="n"/>
      <c r="C295" s="15" t="n"/>
      <c r="D295" s="15" t="n"/>
      <c r="E295" s="15" t="n"/>
      <c r="F295" s="15" t="n"/>
      <c r="G295" s="15" t="n"/>
      <c r="H295" s="18" t="inlineStr">
        <is>
          <t>出参</t>
        </is>
      </c>
      <c r="I295" s="19" t="inlineStr">
        <is>
          <t>data</t>
        </is>
      </c>
      <c r="J295" s="19" t="inlineStr">
        <is>
          <t>items[].doctorName</t>
        </is>
      </c>
      <c r="K295" s="19" t="inlineStr">
        <is>
          <t>string</t>
        </is>
      </c>
      <c r="L295" s="18" t="inlineStr"/>
      <c r="M295" s="19" t="inlineStr">
        <is>
          <t>录入医生</t>
        </is>
      </c>
      <c r="N295" s="19" t="inlineStr">
        <is>
          <t>陈医生</t>
        </is>
      </c>
      <c r="O295" s="19" t="inlineStr"/>
      <c r="P295" s="15" t="n"/>
    </row>
    <row r="296" ht="17.5" customHeight="1">
      <c r="A296" s="15" t="n"/>
      <c r="B296" s="15" t="n"/>
      <c r="C296" s="15" t="n"/>
      <c r="D296" s="15" t="n"/>
      <c r="E296" s="15" t="n"/>
      <c r="F296" s="15" t="n"/>
      <c r="G296" s="15" t="n"/>
      <c r="H296" s="18" t="inlineStr">
        <is>
          <t>出参</t>
        </is>
      </c>
      <c r="I296" s="19" t="inlineStr">
        <is>
          <t>data</t>
        </is>
      </c>
      <c r="J296" s="19" t="inlineStr">
        <is>
          <t>items[].status</t>
        </is>
      </c>
      <c r="K296" s="19" t="inlineStr">
        <is>
          <t>enum</t>
        </is>
      </c>
      <c r="L296" s="18" t="inlineStr"/>
      <c r="M296" s="19" t="inlineStr">
        <is>
          <t>draft 草稿 / submitted 已提交</t>
        </is>
      </c>
      <c r="N296" s="19" t="inlineStr">
        <is>
          <t>submitted</t>
        </is>
      </c>
      <c r="O296" s="19" t="inlineStr"/>
      <c r="P296" s="15" t="n"/>
    </row>
    <row r="297" ht="17.5" customHeight="1">
      <c r="A297" s="15" t="n"/>
      <c r="B297" s="15" t="n"/>
      <c r="C297" s="15" t="n"/>
      <c r="D297" s="15" t="n"/>
      <c r="E297" s="15" t="n"/>
      <c r="F297" s="15" t="n"/>
      <c r="G297" s="15" t="n"/>
      <c r="H297" s="18" t="inlineStr">
        <is>
          <t>出参</t>
        </is>
      </c>
      <c r="I297" s="19" t="inlineStr">
        <is>
          <t>data</t>
        </is>
      </c>
      <c r="J297" s="19" t="inlineStr">
        <is>
          <t>items[].summary</t>
        </is>
      </c>
      <c r="K297" s="19" t="inlineStr">
        <is>
          <t>string</t>
        </is>
      </c>
      <c r="L297" s="18" t="inlineStr"/>
      <c r="M297" s="19" t="inlineStr">
        <is>
          <t>随诊病例摘要（CASE.progress_note 前 100 字）</t>
        </is>
      </c>
      <c r="N297" s="19" t="inlineStr">
        <is>
          <t>患者一般情况稳定…</t>
        </is>
      </c>
      <c r="O297" s="19" t="inlineStr"/>
      <c r="P297" s="15" t="n"/>
    </row>
    <row r="298" ht="17.5" customHeight="1">
      <c r="A298" s="8" t="inlineStr">
        <is>
          <t>患者管理</t>
        </is>
      </c>
      <c r="B298" s="8" t="inlineStr">
        <is>
          <t>patient-visits.html</t>
        </is>
      </c>
      <c r="C298" s="8" t="inlineStr">
        <is>
          <t>修改记录</t>
        </is>
      </c>
      <c r="D298" s="9" t="inlineStr">
        <is>
          <t>PT09</t>
        </is>
      </c>
      <c r="E298" s="10" t="inlineStr">
        <is>
          <t>修改记录</t>
        </is>
      </c>
      <c r="F298" s="11" t="inlineStr">
        <is>
          <t>GET</t>
        </is>
      </c>
      <c r="G298" s="12" t="inlineStr">
        <is>
          <t>/api/v1/patients/{patientId}/audit-logs</t>
        </is>
      </c>
      <c r="H298" s="13" t="inlineStr">
        <is>
          <t>入参</t>
        </is>
      </c>
      <c r="I298" s="14" t="inlineStr">
        <is>
          <t>path</t>
        </is>
      </c>
      <c r="J298" s="14" t="inlineStr">
        <is>
          <t>patientId</t>
        </is>
      </c>
      <c r="K298" s="14" t="inlineStr">
        <is>
          <t>string</t>
        </is>
      </c>
      <c r="L298" s="13" t="inlineStr">
        <is>
          <t>是</t>
        </is>
      </c>
      <c r="M298" s="14" t="inlineStr">
        <is>
          <t>ID号</t>
        </is>
      </c>
      <c r="N298" s="14" t="inlineStr">
        <is>
          <t>611991</t>
        </is>
      </c>
      <c r="O298" s="14" t="inlineStr"/>
      <c r="P298" s="8" t="inlineStr">
        <is>
          <t>审计由服务端在各写接口里自动记录，本接口只读。前端按「A → B」格式高亮，detailText 必须保持该格式。
不记录的：页面浏览。记录的：新建/修改档案、新增/编辑访视、质控发起/处理、标记脱落、查看敏感信息、导出。</t>
        </is>
      </c>
    </row>
    <row r="299" ht="17.5" customHeight="1">
      <c r="A299" s="15" t="n"/>
      <c r="B299" s="15" t="n"/>
      <c r="C299" s="15" t="n"/>
      <c r="D299" s="15" t="n"/>
      <c r="E299" s="15" t="n"/>
      <c r="F299" s="15" t="n"/>
      <c r="G299" s="15" t="n"/>
      <c r="H299" s="16" t="inlineStr">
        <is>
          <t>入参</t>
        </is>
      </c>
      <c r="I299" s="17" t="inlineStr">
        <is>
          <t>query</t>
        </is>
      </c>
      <c r="J299" s="17" t="inlineStr">
        <is>
          <t>page</t>
        </is>
      </c>
      <c r="K299" s="17" t="inlineStr">
        <is>
          <t>integer</t>
        </is>
      </c>
      <c r="L299" s="16" t="inlineStr">
        <is>
          <t>否</t>
        </is>
      </c>
      <c r="M299" s="17" t="inlineStr">
        <is>
          <t>页码，从 1 开始，默认 1</t>
        </is>
      </c>
      <c r="N299" s="17" t="inlineStr">
        <is>
          <t>1</t>
        </is>
      </c>
      <c r="O299" s="17" t="inlineStr"/>
      <c r="P299" s="15" t="n"/>
    </row>
    <row r="300" ht="31" customHeight="1">
      <c r="A300" s="15" t="n"/>
      <c r="B300" s="15" t="n"/>
      <c r="C300" s="15" t="n"/>
      <c r="D300" s="15" t="n"/>
      <c r="E300" s="15" t="n"/>
      <c r="F300" s="15" t="n"/>
      <c r="G300" s="15" t="n"/>
      <c r="H300" s="16" t="inlineStr">
        <is>
          <t>入参</t>
        </is>
      </c>
      <c r="I300" s="17" t="inlineStr">
        <is>
          <t>query</t>
        </is>
      </c>
      <c r="J300" s="17" t="inlineStr">
        <is>
          <t>size</t>
        </is>
      </c>
      <c r="K300" s="17" t="inlineStr">
        <is>
          <t>integer</t>
        </is>
      </c>
      <c r="L300" s="16" t="inlineStr">
        <is>
          <t>否</t>
        </is>
      </c>
      <c r="M300" s="17" t="inlineStr">
        <is>
          <t>每页条数，默认 20，最大 200；前端下拉 8 / 16 / 32</t>
        </is>
      </c>
      <c r="N300" s="17" t="inlineStr">
        <is>
          <t>8</t>
        </is>
      </c>
      <c r="O300" s="17" t="inlineStr"/>
      <c r="P300" s="15" t="n"/>
    </row>
    <row r="301" ht="17.5" customHeight="1">
      <c r="A301" s="15" t="n"/>
      <c r="B301" s="15" t="n"/>
      <c r="C301" s="15" t="n"/>
      <c r="D301" s="15" t="n"/>
      <c r="E301" s="15" t="n"/>
      <c r="F301" s="15" t="n"/>
      <c r="G301" s="15" t="n"/>
      <c r="H301" s="18" t="inlineStr">
        <is>
          <t>出参</t>
        </is>
      </c>
      <c r="I301" s="19" t="inlineStr">
        <is>
          <t>data</t>
        </is>
      </c>
      <c r="J301" s="19" t="inlineStr">
        <is>
          <t>items[].time</t>
        </is>
      </c>
      <c r="K301" s="19" t="inlineStr">
        <is>
          <t>datetime</t>
        </is>
      </c>
      <c r="L301" s="18" t="inlineStr"/>
      <c r="M301" s="19" t="inlineStr">
        <is>
          <t>操作时间</t>
        </is>
      </c>
      <c r="N301" s="19" t="inlineStr">
        <is>
          <t>2026-03-20T11:02:00+08:00</t>
        </is>
      </c>
      <c r="O301" s="19" t="inlineStr"/>
      <c r="P301" s="15" t="n"/>
    </row>
    <row r="302" ht="17.5" customHeight="1">
      <c r="A302" s="15" t="n"/>
      <c r="B302" s="15" t="n"/>
      <c r="C302" s="15" t="n"/>
      <c r="D302" s="15" t="n"/>
      <c r="E302" s="15" t="n"/>
      <c r="F302" s="15" t="n"/>
      <c r="G302" s="15" t="n"/>
      <c r="H302" s="18" t="inlineStr">
        <is>
          <t>出参</t>
        </is>
      </c>
      <c r="I302" s="19" t="inlineStr">
        <is>
          <t>data</t>
        </is>
      </c>
      <c r="J302" s="19" t="inlineStr">
        <is>
          <t>items[].userName</t>
        </is>
      </c>
      <c r="K302" s="19" t="inlineStr">
        <is>
          <t>string</t>
        </is>
      </c>
      <c r="L302" s="18" t="inlineStr"/>
      <c r="M302" s="19" t="inlineStr">
        <is>
          <t>操作人</t>
        </is>
      </c>
      <c r="N302" s="19" t="inlineStr">
        <is>
          <t>陈医生</t>
        </is>
      </c>
      <c r="O302" s="19" t="inlineStr"/>
      <c r="P302" s="15" t="n"/>
    </row>
    <row r="303" ht="17.5" customHeight="1">
      <c r="A303" s="15" t="n"/>
      <c r="B303" s="15" t="n"/>
      <c r="C303" s="15" t="n"/>
      <c r="D303" s="15" t="n"/>
      <c r="E303" s="15" t="n"/>
      <c r="F303" s="15" t="n"/>
      <c r="G303" s="15" t="n"/>
      <c r="H303" s="18" t="inlineStr">
        <is>
          <t>出参</t>
        </is>
      </c>
      <c r="I303" s="19" t="inlineStr">
        <is>
          <t>data</t>
        </is>
      </c>
      <c r="J303" s="19" t="inlineStr">
        <is>
          <t>items[].userRole</t>
        </is>
      </c>
      <c r="K303" s="19" t="inlineStr">
        <is>
          <t>string</t>
        </is>
      </c>
      <c r="L303" s="18" t="inlineStr"/>
      <c r="M303" s="19" t="inlineStr">
        <is>
          <t>角色中文</t>
        </is>
      </c>
      <c r="N303" s="19" t="inlineStr">
        <is>
          <t>研究者</t>
        </is>
      </c>
      <c r="O303" s="19" t="inlineStr"/>
      <c r="P303" s="15" t="n"/>
    </row>
    <row r="304" ht="17.5" customHeight="1">
      <c r="A304" s="15" t="n"/>
      <c r="B304" s="15" t="n"/>
      <c r="C304" s="15" t="n"/>
      <c r="D304" s="15" t="n"/>
      <c r="E304" s="15" t="n"/>
      <c r="F304" s="15" t="n"/>
      <c r="G304" s="15" t="n"/>
      <c r="H304" s="18" t="inlineStr">
        <is>
          <t>出参</t>
        </is>
      </c>
      <c r="I304" s="19" t="inlineStr">
        <is>
          <t>data</t>
        </is>
      </c>
      <c r="J304" s="19" t="inlineStr">
        <is>
          <t>items[].action</t>
        </is>
      </c>
      <c r="K304" s="19" t="inlineStr">
        <is>
          <t>enum</t>
        </is>
      </c>
      <c r="L304" s="18" t="inlineStr"/>
      <c r="M304" s="19" t="inlineStr">
        <is>
          <t>见枚举 auditAction</t>
        </is>
      </c>
      <c r="N304" s="19" t="inlineStr">
        <is>
          <t>update_patient</t>
        </is>
      </c>
      <c r="O304" s="19" t="inlineStr"/>
      <c r="P304" s="15" t="n"/>
    </row>
    <row r="305" ht="17.5" customHeight="1">
      <c r="A305" s="15" t="n"/>
      <c r="B305" s="15" t="n"/>
      <c r="C305" s="15" t="n"/>
      <c r="D305" s="15" t="n"/>
      <c r="E305" s="15" t="n"/>
      <c r="F305" s="15" t="n"/>
      <c r="G305" s="15" t="n"/>
      <c r="H305" s="18" t="inlineStr">
        <is>
          <t>出参</t>
        </is>
      </c>
      <c r="I305" s="19" t="inlineStr">
        <is>
          <t>data</t>
        </is>
      </c>
      <c r="J305" s="19" t="inlineStr">
        <is>
          <t>items[].actionLabel</t>
        </is>
      </c>
      <c r="K305" s="19" t="inlineStr">
        <is>
          <t>string</t>
        </is>
      </c>
      <c r="L305" s="18" t="inlineStr"/>
      <c r="M305" s="19" t="inlineStr">
        <is>
          <t>中文（页面彩色标签）</t>
        </is>
      </c>
      <c r="N305" s="19" t="inlineStr">
        <is>
          <t>修改档案</t>
        </is>
      </c>
      <c r="O305" s="19" t="inlineStr"/>
      <c r="P305" s="15" t="n"/>
    </row>
    <row r="306" ht="17.5" customHeight="1">
      <c r="A306" s="15" t="n"/>
      <c r="B306" s="15" t="n"/>
      <c r="C306" s="15" t="n"/>
      <c r="D306" s="15" t="n"/>
      <c r="E306" s="15" t="n"/>
      <c r="F306" s="15" t="n"/>
      <c r="G306" s="15" t="n"/>
      <c r="H306" s="18" t="inlineStr">
        <is>
          <t>出参</t>
        </is>
      </c>
      <c r="I306" s="19" t="inlineStr">
        <is>
          <t>data</t>
        </is>
      </c>
      <c r="J306" s="19" t="inlineStr">
        <is>
          <t>items[].visitId</t>
        </is>
      </c>
      <c r="K306" s="19" t="inlineStr">
        <is>
          <t>string</t>
        </is>
      </c>
      <c r="L306" s="18" t="inlineStr"/>
      <c r="M306" s="19" t="inlineStr">
        <is>
          <t>涉及访视时返回</t>
        </is>
      </c>
      <c r="N306" s="19" t="inlineStr"/>
      <c r="O306" s="19" t="inlineStr"/>
      <c r="P306" s="15" t="n"/>
    </row>
    <row r="307" ht="17.5" customHeight="1">
      <c r="A307" s="15" t="n"/>
      <c r="B307" s="15" t="n"/>
      <c r="C307" s="15" t="n"/>
      <c r="D307" s="15" t="n"/>
      <c r="E307" s="15" t="n"/>
      <c r="F307" s="15" t="n"/>
      <c r="G307" s="15" t="n"/>
      <c r="H307" s="18" t="inlineStr">
        <is>
          <t>出参</t>
        </is>
      </c>
      <c r="I307" s="19" t="inlineStr">
        <is>
          <t>data</t>
        </is>
      </c>
      <c r="J307" s="19" t="inlineStr">
        <is>
          <t>items[].changes[].fieldCode</t>
        </is>
      </c>
      <c r="K307" s="19" t="inlineStr">
        <is>
          <t>string</t>
        </is>
      </c>
      <c r="L307" s="18" t="inlineStr"/>
      <c r="M307" s="19" t="inlineStr">
        <is>
          <t>字段编码</t>
        </is>
      </c>
      <c r="N307" s="19" t="inlineStr">
        <is>
          <t>followCycle</t>
        </is>
      </c>
      <c r="O307" s="19" t="inlineStr"/>
      <c r="P307" s="15" t="n"/>
    </row>
    <row r="308" ht="17.5" customHeight="1">
      <c r="A308" s="15" t="n"/>
      <c r="B308" s="15" t="n"/>
      <c r="C308" s="15" t="n"/>
      <c r="D308" s="15" t="n"/>
      <c r="E308" s="15" t="n"/>
      <c r="F308" s="15" t="n"/>
      <c r="G308" s="15" t="n"/>
      <c r="H308" s="18" t="inlineStr">
        <is>
          <t>出参</t>
        </is>
      </c>
      <c r="I308" s="19" t="inlineStr">
        <is>
          <t>data</t>
        </is>
      </c>
      <c r="J308" s="19" t="inlineStr">
        <is>
          <t>items[].changes[].label</t>
        </is>
      </c>
      <c r="K308" s="19" t="inlineStr">
        <is>
          <t>string</t>
        </is>
      </c>
      <c r="L308" s="18" t="inlineStr"/>
      <c r="M308" s="19" t="inlineStr">
        <is>
          <t>字段中文名</t>
        </is>
      </c>
      <c r="N308" s="19" t="inlineStr">
        <is>
          <t>随访周期</t>
        </is>
      </c>
      <c r="O308" s="19" t="inlineStr"/>
      <c r="P308" s="15" t="n"/>
    </row>
    <row r="309" ht="17.5" customHeight="1">
      <c r="A309" s="15" t="n"/>
      <c r="B309" s="15" t="n"/>
      <c r="C309" s="15" t="n"/>
      <c r="D309" s="15" t="n"/>
      <c r="E309" s="15" t="n"/>
      <c r="F309" s="15" t="n"/>
      <c r="G309" s="15" t="n"/>
      <c r="H309" s="18" t="inlineStr">
        <is>
          <t>出参</t>
        </is>
      </c>
      <c r="I309" s="19" t="inlineStr">
        <is>
          <t>data</t>
        </is>
      </c>
      <c r="J309" s="19" t="inlineStr">
        <is>
          <t>items[].changes[].old</t>
        </is>
      </c>
      <c r="K309" s="19" t="inlineStr">
        <is>
          <t>string</t>
        </is>
      </c>
      <c r="L309" s="18" t="inlineStr"/>
      <c r="M309" s="19" t="inlineStr">
        <is>
          <t>旧值显示文字</t>
        </is>
      </c>
      <c r="N309" s="19" t="inlineStr">
        <is>
          <t>每 3 个月</t>
        </is>
      </c>
      <c r="O309" s="19" t="inlineStr"/>
      <c r="P309" s="15" t="n"/>
    </row>
    <row r="310" ht="17.5" customHeight="1">
      <c r="A310" s="15" t="n"/>
      <c r="B310" s="15" t="n"/>
      <c r="C310" s="15" t="n"/>
      <c r="D310" s="15" t="n"/>
      <c r="E310" s="15" t="n"/>
      <c r="F310" s="15" t="n"/>
      <c r="G310" s="15" t="n"/>
      <c r="H310" s="18" t="inlineStr">
        <is>
          <t>出参</t>
        </is>
      </c>
      <c r="I310" s="19" t="inlineStr">
        <is>
          <t>data</t>
        </is>
      </c>
      <c r="J310" s="19" t="inlineStr">
        <is>
          <t>items[].changes[].new</t>
        </is>
      </c>
      <c r="K310" s="19" t="inlineStr">
        <is>
          <t>string</t>
        </is>
      </c>
      <c r="L310" s="18" t="inlineStr"/>
      <c r="M310" s="19" t="inlineStr">
        <is>
          <t>新值显示文字</t>
        </is>
      </c>
      <c r="N310" s="19" t="inlineStr">
        <is>
          <t>每 6 个月</t>
        </is>
      </c>
      <c r="O310" s="19" t="inlineStr"/>
      <c r="P310" s="15" t="n"/>
    </row>
    <row r="311" ht="31" customHeight="1">
      <c r="A311" s="15" t="n"/>
      <c r="B311" s="15" t="n"/>
      <c r="C311" s="15" t="n"/>
      <c r="D311" s="15" t="n"/>
      <c r="E311" s="15" t="n"/>
      <c r="F311" s="15" t="n"/>
      <c r="G311" s="15" t="n"/>
      <c r="H311" s="18" t="inlineStr">
        <is>
          <t>出参</t>
        </is>
      </c>
      <c r="I311" s="19" t="inlineStr">
        <is>
          <t>data</t>
        </is>
      </c>
      <c r="J311" s="19" t="inlineStr">
        <is>
          <t>items[].detailText</t>
        </is>
      </c>
      <c r="K311" s="19" t="inlineStr">
        <is>
          <t>string</t>
        </is>
      </c>
      <c r="L311" s="18" t="inlineStr"/>
      <c r="M311" s="19" t="inlineStr">
        <is>
          <t>整条说明，服务端拼好，格式「字段：旧 → 新；字段：旧 → 新」</t>
        </is>
      </c>
      <c r="N311" s="19" t="inlineStr">
        <is>
          <t>随访周期：每 3 个月 → 每 6 个月</t>
        </is>
      </c>
      <c r="O311" s="19" t="inlineStr"/>
      <c r="P311" s="15" t="n"/>
    </row>
    <row r="312" ht="31" customHeight="1">
      <c r="A312" s="15" t="n"/>
      <c r="B312" s="15" t="n"/>
      <c r="C312" s="15" t="n"/>
      <c r="D312" s="15" t="n"/>
      <c r="E312" s="15" t="n"/>
      <c r="F312" s="15" t="n"/>
      <c r="G312" s="15" t="n"/>
      <c r="H312" s="18" t="inlineStr">
        <is>
          <t>出参</t>
        </is>
      </c>
      <c r="I312" s="19" t="inlineStr">
        <is>
          <t>data</t>
        </is>
      </c>
      <c r="J312" s="19" t="inlineStr">
        <is>
          <t>items[].reason</t>
        </is>
      </c>
      <c r="K312" s="19" t="inlineStr">
        <is>
          <t>string</t>
        </is>
      </c>
      <c r="L312" s="18" t="inlineStr"/>
      <c r="M312" s="19" t="inlineStr">
        <is>
          <t>修改原因（有则返回）</t>
        </is>
      </c>
      <c r="N312" s="19" t="inlineStr">
        <is>
          <t>连续 2 次评估处于低疾病活动</t>
        </is>
      </c>
      <c r="O312" s="19" t="inlineStr"/>
      <c r="P312" s="15" t="n"/>
    </row>
    <row r="313" ht="17.5" customHeight="1">
      <c r="A313" s="15" t="n"/>
      <c r="B313" s="15" t="n"/>
      <c r="C313" s="15" t="n"/>
      <c r="D313" s="15" t="n"/>
      <c r="E313" s="15" t="n"/>
      <c r="F313" s="15" t="n"/>
      <c r="G313" s="15" t="n"/>
      <c r="H313" s="18" t="inlineStr">
        <is>
          <t>出参</t>
        </is>
      </c>
      <c r="I313" s="19" t="inlineStr">
        <is>
          <t>data</t>
        </is>
      </c>
      <c r="J313" s="19" t="inlineStr">
        <is>
          <t>total</t>
        </is>
      </c>
      <c r="K313" s="19" t="inlineStr">
        <is>
          <t>integer</t>
        </is>
      </c>
      <c r="L313" s="18" t="inlineStr"/>
      <c r="M313" s="19" t="inlineStr">
        <is>
          <t>符合条件的总条数（用于「共 N 条」与分页）</t>
        </is>
      </c>
      <c r="N313" s="19" t="inlineStr">
        <is>
          <t>56</t>
        </is>
      </c>
      <c r="O313" s="19" t="inlineStr"/>
      <c r="P313" s="15" t="n"/>
    </row>
    <row r="314" ht="17.5" customHeight="1">
      <c r="A314" s="15" t="n"/>
      <c r="B314" s="15" t="n"/>
      <c r="C314" s="15" t="n"/>
      <c r="D314" s="15" t="n"/>
      <c r="E314" s="15" t="n"/>
      <c r="F314" s="15" t="n"/>
      <c r="G314" s="15" t="n"/>
      <c r="H314" s="18" t="inlineStr">
        <is>
          <t>出参</t>
        </is>
      </c>
      <c r="I314" s="19" t="inlineStr">
        <is>
          <t>data</t>
        </is>
      </c>
      <c r="J314" s="19" t="inlineStr">
        <is>
          <t>page</t>
        </is>
      </c>
      <c r="K314" s="19" t="inlineStr">
        <is>
          <t>integer</t>
        </is>
      </c>
      <c r="L314" s="18" t="inlineStr"/>
      <c r="M314" s="19" t="inlineStr">
        <is>
          <t>当前页码</t>
        </is>
      </c>
      <c r="N314" s="19" t="inlineStr">
        <is>
          <t>1</t>
        </is>
      </c>
      <c r="O314" s="19" t="inlineStr"/>
      <c r="P314" s="15" t="n"/>
    </row>
    <row r="315" ht="17.5" customHeight="1">
      <c r="A315" s="15" t="n"/>
      <c r="B315" s="15" t="n"/>
      <c r="C315" s="15" t="n"/>
      <c r="D315" s="15" t="n"/>
      <c r="E315" s="15" t="n"/>
      <c r="F315" s="15" t="n"/>
      <c r="G315" s="15" t="n"/>
      <c r="H315" s="18" t="inlineStr">
        <is>
          <t>出参</t>
        </is>
      </c>
      <c r="I315" s="19" t="inlineStr">
        <is>
          <t>data</t>
        </is>
      </c>
      <c r="J315" s="19" t="inlineStr">
        <is>
          <t>size</t>
        </is>
      </c>
      <c r="K315" s="19" t="inlineStr">
        <is>
          <t>integer</t>
        </is>
      </c>
      <c r="L315" s="18" t="inlineStr"/>
      <c r="M315" s="19" t="inlineStr">
        <is>
          <t>每页条数</t>
        </is>
      </c>
      <c r="N315" s="19" t="inlineStr">
        <is>
          <t>8</t>
        </is>
      </c>
      <c r="O315" s="19" t="inlineStr"/>
      <c r="P315" s="15" t="n"/>
    </row>
    <row r="316" ht="17.5" customHeight="1">
      <c r="A316" s="8" t="inlineStr">
        <is>
          <t>患者管理</t>
        </is>
      </c>
      <c r="B316" s="8" t="inlineStr">
        <is>
          <t>patient-visits.html / visit-detail.html</t>
        </is>
      </c>
      <c r="C316" s="8" t="inlineStr">
        <is>
          <t>下载病历 / 下载本次病历</t>
        </is>
      </c>
      <c r="D316" s="9" t="inlineStr">
        <is>
          <t>PT10</t>
        </is>
      </c>
      <c r="E316" s="10" t="inlineStr">
        <is>
          <t>下载病历（PDF）</t>
        </is>
      </c>
      <c r="F316" s="11" t="inlineStr">
        <is>
          <t>GET</t>
        </is>
      </c>
      <c r="G316" s="12" t="inlineStr">
        <is>
          <t>/api/v1/patients/{patientId}/case-file</t>
        </is>
      </c>
      <c r="H316" s="13" t="inlineStr">
        <is>
          <t>入参</t>
        </is>
      </c>
      <c r="I316" s="14" t="inlineStr">
        <is>
          <t>path</t>
        </is>
      </c>
      <c r="J316" s="14" t="inlineStr">
        <is>
          <t>patientId</t>
        </is>
      </c>
      <c r="K316" s="14" t="inlineStr">
        <is>
          <t>string</t>
        </is>
      </c>
      <c r="L316" s="13" t="inlineStr">
        <is>
          <t>是</t>
        </is>
      </c>
      <c r="M316" s="14" t="inlineStr">
        <is>
          <t>ID号</t>
        </is>
      </c>
      <c r="N316" s="14" t="inlineStr">
        <is>
          <t>611991</t>
        </is>
      </c>
      <c r="O316" s="14" t="inlineStr"/>
      <c r="P316" s="8" t="inlineStr">
        <is>
          <t>PDF 模板（版式、是否带医院抬头、是否含身份证号）待确认。写审计「下载病历」。</t>
        </is>
      </c>
    </row>
    <row r="317" ht="17.5" customHeight="1">
      <c r="A317" s="15" t="n"/>
      <c r="B317" s="15" t="n"/>
      <c r="C317" s="15" t="n"/>
      <c r="D317" s="15" t="n"/>
      <c r="E317" s="15" t="n"/>
      <c r="F317" s="15" t="n"/>
      <c r="G317" s="15" t="n"/>
      <c r="H317" s="16" t="inlineStr">
        <is>
          <t>入参</t>
        </is>
      </c>
      <c r="I317" s="17" t="inlineStr">
        <is>
          <t>query</t>
        </is>
      </c>
      <c r="J317" s="17" t="inlineStr">
        <is>
          <t>visitId</t>
        </is>
      </c>
      <c r="K317" s="17" t="inlineStr">
        <is>
          <t>string</t>
        </is>
      </c>
      <c r="L317" s="16" t="inlineStr">
        <is>
          <t>否</t>
        </is>
      </c>
      <c r="M317" s="17" t="inlineStr">
        <is>
          <t>传=下载本次访视病历；不传=全部访视合并</t>
        </is>
      </c>
      <c r="N317" s="17" t="inlineStr">
        <is>
          <t>v_20260908_001</t>
        </is>
      </c>
      <c r="O317" s="17" t="inlineStr"/>
      <c r="P317" s="15" t="n"/>
    </row>
    <row r="318" ht="31" customHeight="1">
      <c r="A318" s="15" t="n"/>
      <c r="B318" s="15" t="n"/>
      <c r="C318" s="15" t="n"/>
      <c r="D318" s="15" t="n"/>
      <c r="E318" s="15" t="n"/>
      <c r="F318" s="15" t="n"/>
      <c r="G318" s="15" t="n"/>
      <c r="H318" s="18" t="inlineStr">
        <is>
          <t>出参</t>
        </is>
      </c>
      <c r="I318" s="19" t="inlineStr">
        <is>
          <t>data</t>
        </is>
      </c>
      <c r="J318" s="19" t="inlineStr">
        <is>
          <t>(文件流)</t>
        </is>
      </c>
      <c r="K318" s="19" t="inlineStr">
        <is>
          <t>file</t>
        </is>
      </c>
      <c r="L318" s="18" t="inlineStr"/>
      <c r="M318" s="19" t="inlineStr">
        <is>
          <t>application/pdf；文件名「姓名-访视日期.pdf」或「姓名-随诊病例.pdf」</t>
        </is>
      </c>
      <c r="N318" s="19" t="inlineStr"/>
      <c r="O318" s="19" t="inlineStr"/>
      <c r="P318" s="15" t="n"/>
    </row>
    <row r="319" ht="17.5" customHeight="1">
      <c r="A319" s="8" t="inlineStr">
        <is>
          <t>患者管理</t>
        </is>
      </c>
      <c r="B319" s="8" t="inlineStr">
        <is>
          <t>patient-edit.html</t>
        </is>
      </c>
      <c r="C319" s="8" t="inlineStr">
        <is>
          <t>编辑档案 · 保存修改</t>
        </is>
      </c>
      <c r="D319" s="9" t="inlineStr">
        <is>
          <t>PT11</t>
        </is>
      </c>
      <c r="E319" s="10" t="inlineStr">
        <is>
          <t>编辑患者档案（含随访周期）</t>
        </is>
      </c>
      <c r="F319" s="11" t="inlineStr">
        <is>
          <t>PATCH</t>
        </is>
      </c>
      <c r="G319" s="12" t="inlineStr">
        <is>
          <t>/api/v1/patients/{patientId}</t>
        </is>
      </c>
      <c r="H319" s="13" t="inlineStr">
        <is>
          <t>入参</t>
        </is>
      </c>
      <c r="I319" s="14" t="inlineStr">
        <is>
          <t>path</t>
        </is>
      </c>
      <c r="J319" s="14" t="inlineStr">
        <is>
          <t>patientId</t>
        </is>
      </c>
      <c r="K319" s="14" t="inlineStr">
        <is>
          <t>string</t>
        </is>
      </c>
      <c r="L319" s="13" t="inlineStr">
        <is>
          <t>是</t>
        </is>
      </c>
      <c r="M319" s="14" t="inlineStr">
        <is>
          <t>ID号（不可修改）</t>
        </is>
      </c>
      <c r="N319" s="14" t="inlineStr">
        <is>
          <t>611991</t>
        </is>
      </c>
      <c r="O319" s="14" t="inlineStr"/>
      <c r="P319" s="8" t="inlineStr">
        <is>
          <t>服务端逐字段比对，写审计「修改档案」，每个改动一条 changes。
研究编号改动须唯一。
页面「下次随访（预计）」预览由前端按 B-03 规则本地计算，不调接口。</t>
        </is>
      </c>
    </row>
    <row r="320" ht="17.5" customHeight="1">
      <c r="A320" s="15" t="n"/>
      <c r="B320" s="15" t="n"/>
      <c r="C320" s="15" t="n"/>
      <c r="D320" s="15" t="n"/>
      <c r="E320" s="15" t="n"/>
      <c r="F320" s="15" t="n"/>
      <c r="G320" s="15" t="n"/>
      <c r="H320" s="16" t="inlineStr">
        <is>
          <t>入参</t>
        </is>
      </c>
      <c r="I320" s="17" t="inlineStr">
        <is>
          <t>body</t>
        </is>
      </c>
      <c r="J320" s="17" t="inlineStr">
        <is>
          <t>rowVersion</t>
        </is>
      </c>
      <c r="K320" s="17" t="inlineStr">
        <is>
          <t>integer</t>
        </is>
      </c>
      <c r="L320" s="16" t="inlineStr">
        <is>
          <t>是</t>
        </is>
      </c>
      <c r="M320" s="17" t="inlineStr">
        <is>
          <t>PT06 返回的版本号；不一致返回 40901</t>
        </is>
      </c>
      <c r="N320" s="17" t="inlineStr">
        <is>
          <t>7</t>
        </is>
      </c>
      <c r="O320" s="17" t="inlineStr"/>
      <c r="P320" s="15" t="n"/>
    </row>
    <row r="321" ht="71.5" customHeight="1">
      <c r="A321" s="15" t="n"/>
      <c r="B321" s="15" t="n"/>
      <c r="C321" s="15" t="n"/>
      <c r="D321" s="15" t="n"/>
      <c r="E321" s="15" t="n"/>
      <c r="F321" s="15" t="n"/>
      <c r="G321" s="15" t="n"/>
      <c r="H321" s="16" t="inlineStr">
        <is>
          <t>入参</t>
        </is>
      </c>
      <c r="I321" s="17" t="inlineStr">
        <is>
          <t>body</t>
        </is>
      </c>
      <c r="J321" s="17" t="inlineStr">
        <is>
          <t>name / phone / idNumber / studyNo / ethnicity / sex / birthDate / maritalStatus / heightCm / weightKg / followStartDate / followCycle</t>
        </is>
      </c>
      <c r="K321" s="17" t="inlineStr">
        <is>
          <t>—</t>
        </is>
      </c>
      <c r="L321" s="16" t="inlineStr">
        <is>
          <t>否</t>
        </is>
      </c>
      <c r="M321" s="17" t="inlineStr">
        <is>
          <t>只传修改过的字段，格式同 PT02</t>
        </is>
      </c>
      <c r="N321" s="17" t="inlineStr">
        <is>
          <t>{"followCycle":6}</t>
        </is>
      </c>
      <c r="O321" s="17" t="inlineStr"/>
      <c r="P321" s="15" t="n"/>
    </row>
    <row r="322" ht="31" customHeight="1">
      <c r="A322" s="15" t="n"/>
      <c r="B322" s="15" t="n"/>
      <c r="C322" s="15" t="n"/>
      <c r="D322" s="15" t="n"/>
      <c r="E322" s="15" t="n"/>
      <c r="F322" s="15" t="n"/>
      <c r="G322" s="15" t="n"/>
      <c r="H322" s="16" t="inlineStr">
        <is>
          <t>入参</t>
        </is>
      </c>
      <c r="I322" s="17" t="inlineStr">
        <is>
          <t>body</t>
        </is>
      </c>
      <c r="J322" s="17" t="inlineStr">
        <is>
          <t>reason</t>
        </is>
      </c>
      <c r="K322" s="17" t="inlineStr">
        <is>
          <t>string</t>
        </is>
      </c>
      <c r="L322" s="16" t="inlineStr">
        <is>
          <t>否</t>
        </is>
      </c>
      <c r="M322" s="17" t="inlineStr">
        <is>
          <t>修改原因，写入审计</t>
        </is>
      </c>
      <c r="N322" s="17" t="inlineStr">
        <is>
          <t>连续 2 次评估处于低疾病活动</t>
        </is>
      </c>
      <c r="O322" s="17" t="inlineStr"/>
      <c r="P322" s="15" t="n"/>
    </row>
    <row r="323" ht="17.5" customHeight="1">
      <c r="A323" s="15" t="n"/>
      <c r="B323" s="15" t="n"/>
      <c r="C323" s="15" t="n"/>
      <c r="D323" s="15" t="n"/>
      <c r="E323" s="15" t="n"/>
      <c r="F323" s="15" t="n"/>
      <c r="G323" s="15" t="n"/>
      <c r="H323" s="18" t="inlineStr">
        <is>
          <t>出参</t>
        </is>
      </c>
      <c r="I323" s="19" t="inlineStr">
        <is>
          <t>data</t>
        </is>
      </c>
      <c r="J323" s="19" t="inlineStr">
        <is>
          <t>patient</t>
        </is>
      </c>
      <c r="K323" s="19" t="inlineStr">
        <is>
          <t>object</t>
        </is>
      </c>
      <c r="L323" s="18" t="inlineStr"/>
      <c r="M323" s="19" t="inlineStr">
        <is>
          <t>更新后的患者详情，结构同 PT06</t>
        </is>
      </c>
      <c r="N323" s="19" t="inlineStr"/>
      <c r="O323" s="19" t="inlineStr"/>
      <c r="P323" s="15" t="n"/>
    </row>
    <row r="324" ht="17.5" customHeight="1">
      <c r="A324" s="15" t="n"/>
      <c r="B324" s="15" t="n"/>
      <c r="C324" s="15" t="n"/>
      <c r="D324" s="15" t="n"/>
      <c r="E324" s="15" t="n"/>
      <c r="F324" s="15" t="n"/>
      <c r="G324" s="15" t="n"/>
      <c r="H324" s="18" t="inlineStr">
        <is>
          <t>出参</t>
        </is>
      </c>
      <c r="I324" s="19" t="inlineStr">
        <is>
          <t>data</t>
        </is>
      </c>
      <c r="J324" s="19" t="inlineStr">
        <is>
          <t>changedCount</t>
        </is>
      </c>
      <c r="K324" s="19" t="inlineStr">
        <is>
          <t>integer</t>
        </is>
      </c>
      <c r="L324" s="18" t="inlineStr"/>
      <c r="M324" s="19" t="inlineStr">
        <is>
          <t>实际修改项数</t>
        </is>
      </c>
      <c r="N324" s="19" t="inlineStr">
        <is>
          <t>1</t>
        </is>
      </c>
      <c r="O324" s="19" t="inlineStr"/>
      <c r="P324" s="15" t="n"/>
    </row>
    <row r="325" ht="17.5" customHeight="1">
      <c r="A325" s="8" t="inlineStr">
        <is>
          <t>患者管理</t>
        </is>
      </c>
      <c r="B325" s="8" t="inlineStr">
        <is>
          <t>（页面暂无入口）</t>
        </is>
      </c>
      <c r="C325" s="8" t="inlineStr">
        <is>
          <t>标记脱落</t>
        </is>
      </c>
      <c r="D325" s="9" t="inlineStr">
        <is>
          <t>PT12</t>
        </is>
      </c>
      <c r="E325" s="10" t="inlineStr">
        <is>
          <t>标记脱落</t>
        </is>
      </c>
      <c r="F325" s="11" t="inlineStr">
        <is>
          <t>POST</t>
        </is>
      </c>
      <c r="G325" s="12" t="inlineStr">
        <is>
          <t>/api/v1/patients/{patientId}/withdraw</t>
        </is>
      </c>
      <c r="H325" s="13" t="inlineStr">
        <is>
          <t>入参</t>
        </is>
      </c>
      <c r="I325" s="14" t="inlineStr">
        <is>
          <t>path</t>
        </is>
      </c>
      <c r="J325" s="14" t="inlineStr">
        <is>
          <t>patientId</t>
        </is>
      </c>
      <c r="K325" s="14" t="inlineStr">
        <is>
          <t>string</t>
        </is>
      </c>
      <c r="L325" s="13" t="inlineStr">
        <is>
          <t>是</t>
        </is>
      </c>
      <c r="M325" s="14" t="inlineStr">
        <is>
          <t>ID号</t>
        </is>
      </c>
      <c r="N325" s="14" t="inlineStr">
        <is>
          <t>611991</t>
        </is>
      </c>
      <c r="O325" s="14" t="inlineStr"/>
      <c r="P325" s="8" t="inlineStr">
        <is>
          <t>现有页面有「已脱落」状态展示，但没有设置入口；建议加在患者详情或编辑档案页（见待确认表）。脱落后不再进入随访计划与随访逾期统计。</t>
        </is>
      </c>
    </row>
    <row r="326" ht="17.5" customHeight="1">
      <c r="A326" s="15" t="n"/>
      <c r="B326" s="15" t="n"/>
      <c r="C326" s="15" t="n"/>
      <c r="D326" s="15" t="n"/>
      <c r="E326" s="15" t="n"/>
      <c r="F326" s="15" t="n"/>
      <c r="G326" s="15" t="n"/>
      <c r="H326" s="16" t="inlineStr">
        <is>
          <t>入参</t>
        </is>
      </c>
      <c r="I326" s="17" t="inlineStr">
        <is>
          <t>body</t>
        </is>
      </c>
      <c r="J326" s="17" t="inlineStr">
        <is>
          <t>date</t>
        </is>
      </c>
      <c r="K326" s="17" t="inlineStr">
        <is>
          <t>date</t>
        </is>
      </c>
      <c r="L326" s="16" t="inlineStr">
        <is>
          <t>是</t>
        </is>
      </c>
      <c r="M326" s="17" t="inlineStr">
        <is>
          <t>脱落日期</t>
        </is>
      </c>
      <c r="N326" s="17" t="inlineStr">
        <is>
          <t>2026-06-18</t>
        </is>
      </c>
      <c r="O326" s="17" t="inlineStr"/>
      <c r="P326" s="15" t="n"/>
    </row>
    <row r="327" ht="31" customHeight="1">
      <c r="A327" s="15" t="n"/>
      <c r="B327" s="15" t="n"/>
      <c r="C327" s="15" t="n"/>
      <c r="D327" s="15" t="n"/>
      <c r="E327" s="15" t="n"/>
      <c r="F327" s="15" t="n"/>
      <c r="G327" s="15" t="n"/>
      <c r="H327" s="16" t="inlineStr">
        <is>
          <t>入参</t>
        </is>
      </c>
      <c r="I327" s="17" t="inlineStr">
        <is>
          <t>body</t>
        </is>
      </c>
      <c r="J327" s="17" t="inlineStr">
        <is>
          <t>reason</t>
        </is>
      </c>
      <c r="K327" s="17" t="inlineStr">
        <is>
          <t>enum</t>
        </is>
      </c>
      <c r="L327" s="16" t="inlineStr">
        <is>
          <t>是</t>
        </is>
      </c>
      <c r="M327" s="17" t="inlineStr">
        <is>
          <t>lost 失访 / withdraw_consent 撤回知情同意 / adverse 不良事件 / death 死亡 / other 其他</t>
        </is>
      </c>
      <c r="N327" s="17" t="inlineStr">
        <is>
          <t>lost</t>
        </is>
      </c>
      <c r="O327" s="17" t="inlineStr"/>
      <c r="P327" s="15" t="n"/>
    </row>
    <row r="328" ht="17.5" customHeight="1">
      <c r="A328" s="15" t="n"/>
      <c r="B328" s="15" t="n"/>
      <c r="C328" s="15" t="n"/>
      <c r="D328" s="15" t="n"/>
      <c r="E328" s="15" t="n"/>
      <c r="F328" s="15" t="n"/>
      <c r="G328" s="15" t="n"/>
      <c r="H328" s="16" t="inlineStr">
        <is>
          <t>入参</t>
        </is>
      </c>
      <c r="I328" s="17" t="inlineStr">
        <is>
          <t>body</t>
        </is>
      </c>
      <c r="J328" s="17" t="inlineStr">
        <is>
          <t>note</t>
        </is>
      </c>
      <c r="K328" s="17" t="inlineStr">
        <is>
          <t>string</t>
        </is>
      </c>
      <c r="L328" s="16" t="inlineStr">
        <is>
          <t>否</t>
        </is>
      </c>
      <c r="M328" s="17" t="inlineStr">
        <is>
          <t>补充说明</t>
        </is>
      </c>
      <c r="N328" s="17" t="inlineStr">
        <is>
          <t>连续 2 次电话随访未联系上</t>
        </is>
      </c>
      <c r="O328" s="17" t="inlineStr"/>
      <c r="P328" s="15" t="n"/>
    </row>
    <row r="329" ht="17.5" customHeight="1">
      <c r="A329" s="15" t="n"/>
      <c r="B329" s="15" t="n"/>
      <c r="C329" s="15" t="n"/>
      <c r="D329" s="15" t="n"/>
      <c r="E329" s="15" t="n"/>
      <c r="F329" s="15" t="n"/>
      <c r="G329" s="15" t="n"/>
      <c r="H329" s="16" t="inlineStr">
        <is>
          <t>入参</t>
        </is>
      </c>
      <c r="I329" s="17" t="inlineStr">
        <is>
          <t>body</t>
        </is>
      </c>
      <c r="J329" s="17" t="inlineStr">
        <is>
          <t>rowVersion</t>
        </is>
      </c>
      <c r="K329" s="17" t="inlineStr">
        <is>
          <t>integer</t>
        </is>
      </c>
      <c r="L329" s="16" t="inlineStr">
        <is>
          <t>是</t>
        </is>
      </c>
      <c r="M329" s="17" t="inlineStr">
        <is>
          <t>版本号</t>
        </is>
      </c>
      <c r="N329" s="17" t="inlineStr">
        <is>
          <t>7</t>
        </is>
      </c>
      <c r="O329" s="17" t="inlineStr"/>
      <c r="P329" s="15" t="n"/>
    </row>
    <row r="330" ht="17.5" customHeight="1">
      <c r="A330" s="15" t="n"/>
      <c r="B330" s="15" t="n"/>
      <c r="C330" s="15" t="n"/>
      <c r="D330" s="15" t="n"/>
      <c r="E330" s="15" t="n"/>
      <c r="F330" s="15" t="n"/>
      <c r="G330" s="15" t="n"/>
      <c r="H330" s="18" t="inlineStr">
        <is>
          <t>出参</t>
        </is>
      </c>
      <c r="I330" s="19" t="inlineStr">
        <is>
          <t>data</t>
        </is>
      </c>
      <c r="J330" s="19" t="inlineStr">
        <is>
          <t>patient</t>
        </is>
      </c>
      <c r="K330" s="19" t="inlineStr">
        <is>
          <t>object</t>
        </is>
      </c>
      <c r="L330" s="18" t="inlineStr"/>
      <c r="M330" s="19" t="inlineStr">
        <is>
          <t>更新后的患者详情</t>
        </is>
      </c>
      <c r="N330" s="19" t="inlineStr"/>
      <c r="O330" s="19" t="inlineStr"/>
      <c r="P330" s="15" t="n"/>
    </row>
    <row r="331" ht="17.5" customHeight="1">
      <c r="A331" s="8" t="inlineStr">
        <is>
          <t>患者管理</t>
        </is>
      </c>
      <c r="B331" s="8" t="inlineStr">
        <is>
          <t>patient-create.html / visit-create.html / visit-detail.html</t>
        </is>
      </c>
      <c r="C331" s="8" t="inlineStr">
        <is>
          <t>病例表单（7 个模块）</t>
        </is>
      </c>
      <c r="D331" s="9" t="inlineStr">
        <is>
          <t>V01</t>
        </is>
      </c>
      <c r="E331" s="10" t="inlineStr">
        <is>
          <t>CRF 模板（字段字典）</t>
        </is>
      </c>
      <c r="F331" s="11" t="inlineStr">
        <is>
          <t>GET</t>
        </is>
      </c>
      <c r="G331" s="12" t="inlineStr">
        <is>
          <t>/api/v1/studies/{studyId}/crf-template</t>
        </is>
      </c>
      <c r="H331" s="13" t="inlineStr">
        <is>
          <t>入参</t>
        </is>
      </c>
      <c r="I331" s="14" t="inlineStr">
        <is>
          <t>path</t>
        </is>
      </c>
      <c r="J331" s="14" t="inlineStr">
        <is>
          <t>studyId</t>
        </is>
      </c>
      <c r="K331" s="14" t="inlineStr">
        <is>
          <t>string</t>
        </is>
      </c>
      <c r="L331" s="13" t="inlineStr">
        <is>
          <t>是</t>
        </is>
      </c>
      <c r="M331" s="14" t="inlineStr">
        <is>
          <t>研究库编码</t>
        </is>
      </c>
      <c r="N331" s="14" t="inlineStr">
        <is>
          <t>RA</t>
        </is>
      </c>
      <c r="O331" s="14" t="inlineStr"/>
      <c r="P331" s="8" t="inlineStr">
        <is>
          <t>字段定义见 ra/docs/crf-dictionary-draft.csv（待医学负责人定稿）。
一期如前端表单仍写死，此接口只用于取中文名、选项和参考区间，但表单每个输入项必须按字段编码提交。</t>
        </is>
      </c>
    </row>
    <row r="332" ht="17.5" customHeight="1">
      <c r="A332" s="15" t="n"/>
      <c r="B332" s="15" t="n"/>
      <c r="C332" s="15" t="n"/>
      <c r="D332" s="15" t="n"/>
      <c r="E332" s="15" t="n"/>
      <c r="F332" s="15" t="n"/>
      <c r="G332" s="15" t="n"/>
      <c r="H332" s="16" t="inlineStr">
        <is>
          <t>入参</t>
        </is>
      </c>
      <c r="I332" s="17" t="inlineStr">
        <is>
          <t>query</t>
        </is>
      </c>
      <c r="J332" s="17" t="inlineStr">
        <is>
          <t>version</t>
        </is>
      </c>
      <c r="K332" s="17" t="inlineStr">
        <is>
          <t>string</t>
        </is>
      </c>
      <c r="L332" s="16" t="inlineStr">
        <is>
          <t>否</t>
        </is>
      </c>
      <c r="M332" s="17" t="inlineStr">
        <is>
          <t>CRF 版本；不传=当前发布版本</t>
        </is>
      </c>
      <c r="N332" s="17" t="inlineStr">
        <is>
          <t>1.0</t>
        </is>
      </c>
      <c r="O332" s="17" t="inlineStr"/>
      <c r="P332" s="15" t="n"/>
    </row>
    <row r="333" ht="17.5" customHeight="1">
      <c r="A333" s="15" t="n"/>
      <c r="B333" s="15" t="n"/>
      <c r="C333" s="15" t="n"/>
      <c r="D333" s="15" t="n"/>
      <c r="E333" s="15" t="n"/>
      <c r="F333" s="15" t="n"/>
      <c r="G333" s="15" t="n"/>
      <c r="H333" s="18" t="inlineStr">
        <is>
          <t>出参</t>
        </is>
      </c>
      <c r="I333" s="19" t="inlineStr">
        <is>
          <t>data</t>
        </is>
      </c>
      <c r="J333" s="19" t="inlineStr">
        <is>
          <t>version</t>
        </is>
      </c>
      <c r="K333" s="19" t="inlineStr">
        <is>
          <t>string</t>
        </is>
      </c>
      <c r="L333" s="18" t="inlineStr"/>
      <c r="M333" s="19" t="inlineStr">
        <is>
          <t>CRF 版本</t>
        </is>
      </c>
      <c r="N333" s="19" t="inlineStr">
        <is>
          <t>1.0</t>
        </is>
      </c>
      <c r="O333" s="19" t="inlineStr"/>
      <c r="P333" s="15" t="n"/>
    </row>
    <row r="334" ht="17.5" customHeight="1">
      <c r="A334" s="15" t="n"/>
      <c r="B334" s="15" t="n"/>
      <c r="C334" s="15" t="n"/>
      <c r="D334" s="15" t="n"/>
      <c r="E334" s="15" t="n"/>
      <c r="F334" s="15" t="n"/>
      <c r="G334" s="15" t="n"/>
      <c r="H334" s="18" t="inlineStr">
        <is>
          <t>出参</t>
        </is>
      </c>
      <c r="I334" s="19" t="inlineStr">
        <is>
          <t>data</t>
        </is>
      </c>
      <c r="J334" s="19" t="inlineStr">
        <is>
          <t>sections[].code</t>
        </is>
      </c>
      <c r="K334" s="19" t="inlineStr">
        <is>
          <t>string</t>
        </is>
      </c>
      <c r="L334" s="18" t="inlineStr"/>
      <c r="M334" s="19" t="inlineStr">
        <is>
          <t>模块编码 HIS/LAB/ASM/TCM/TRT/AE/CASE</t>
        </is>
      </c>
      <c r="N334" s="19" t="inlineStr">
        <is>
          <t>LAB</t>
        </is>
      </c>
      <c r="O334" s="19" t="inlineStr"/>
      <c r="P334" s="15" t="n"/>
    </row>
    <row r="335" ht="17.5" customHeight="1">
      <c r="A335" s="15" t="n"/>
      <c r="B335" s="15" t="n"/>
      <c r="C335" s="15" t="n"/>
      <c r="D335" s="15" t="n"/>
      <c r="E335" s="15" t="n"/>
      <c r="F335" s="15" t="n"/>
      <c r="G335" s="15" t="n"/>
      <c r="H335" s="18" t="inlineStr">
        <is>
          <t>出参</t>
        </is>
      </c>
      <c r="I335" s="19" t="inlineStr">
        <is>
          <t>data</t>
        </is>
      </c>
      <c r="J335" s="19" t="inlineStr">
        <is>
          <t>sections[].title</t>
        </is>
      </c>
      <c r="K335" s="19" t="inlineStr">
        <is>
          <t>string</t>
        </is>
      </c>
      <c r="L335" s="18" t="inlineStr"/>
      <c r="M335" s="19" t="inlineStr">
        <is>
          <t>模块名</t>
        </is>
      </c>
      <c r="N335" s="19" t="inlineStr">
        <is>
          <t>辅助检查</t>
        </is>
      </c>
      <c r="O335" s="19" t="inlineStr"/>
      <c r="P335" s="15" t="n"/>
    </row>
    <row r="336" ht="17.5" customHeight="1">
      <c r="A336" s="15" t="n"/>
      <c r="B336" s="15" t="n"/>
      <c r="C336" s="15" t="n"/>
      <c r="D336" s="15" t="n"/>
      <c r="E336" s="15" t="n"/>
      <c r="F336" s="15" t="n"/>
      <c r="G336" s="15" t="n"/>
      <c r="H336" s="18" t="inlineStr">
        <is>
          <t>出参</t>
        </is>
      </c>
      <c r="I336" s="19" t="inlineStr">
        <is>
          <t>data</t>
        </is>
      </c>
      <c r="J336" s="19" t="inlineStr">
        <is>
          <t>sections[].groups[].title</t>
        </is>
      </c>
      <c r="K336" s="19" t="inlineStr">
        <is>
          <t>string</t>
        </is>
      </c>
      <c r="L336" s="18" t="inlineStr"/>
      <c r="M336" s="19" t="inlineStr">
        <is>
          <t>分组名</t>
        </is>
      </c>
      <c r="N336" s="19" t="inlineStr">
        <is>
          <t>炎症与血常规</t>
        </is>
      </c>
      <c r="O336" s="19" t="inlineStr"/>
      <c r="P336" s="15" t="n"/>
    </row>
    <row r="337" ht="17.5" customHeight="1">
      <c r="A337" s="15" t="n"/>
      <c r="B337" s="15" t="n"/>
      <c r="C337" s="15" t="n"/>
      <c r="D337" s="15" t="n"/>
      <c r="E337" s="15" t="n"/>
      <c r="F337" s="15" t="n"/>
      <c r="G337" s="15" t="n"/>
      <c r="H337" s="18" t="inlineStr">
        <is>
          <t>出参</t>
        </is>
      </c>
      <c r="I337" s="19" t="inlineStr">
        <is>
          <t>data</t>
        </is>
      </c>
      <c r="J337" s="19" t="inlineStr">
        <is>
          <t>sections[].groups[].repeatable</t>
        </is>
      </c>
      <c r="K337" s="19" t="inlineStr">
        <is>
          <t>boolean</t>
        </is>
      </c>
      <c r="L337" s="18" t="inlineStr"/>
      <c r="M337" s="19" t="inlineStr">
        <is>
          <t>是否可重复（用药明细、不良事件）</t>
        </is>
      </c>
      <c r="N337" s="19" t="inlineStr">
        <is>
          <t>false</t>
        </is>
      </c>
      <c r="O337" s="19" t="inlineStr"/>
      <c r="P337" s="15" t="n"/>
    </row>
    <row r="338" ht="31" customHeight="1">
      <c r="A338" s="15" t="n"/>
      <c r="B338" s="15" t="n"/>
      <c r="C338" s="15" t="n"/>
      <c r="D338" s="15" t="n"/>
      <c r="E338" s="15" t="n"/>
      <c r="F338" s="15" t="n"/>
      <c r="G338" s="15" t="n"/>
      <c r="H338" s="18" t="inlineStr">
        <is>
          <t>出参</t>
        </is>
      </c>
      <c r="I338" s="19" t="inlineStr">
        <is>
          <t>data</t>
        </is>
      </c>
      <c r="J338" s="19" t="inlineStr">
        <is>
          <t>sections[].groups[].fields[].code</t>
        </is>
      </c>
      <c r="K338" s="19" t="inlineStr">
        <is>
          <t>string</t>
        </is>
      </c>
      <c r="L338" s="18" t="inlineStr"/>
      <c r="M338" s="19" t="inlineStr">
        <is>
          <t>字段编码</t>
        </is>
      </c>
      <c r="N338" s="19" t="inlineStr">
        <is>
          <t>LAB.crp</t>
        </is>
      </c>
      <c r="O338" s="19" t="inlineStr"/>
      <c r="P338" s="15" t="n"/>
    </row>
    <row r="339" ht="31" customHeight="1">
      <c r="A339" s="15" t="n"/>
      <c r="B339" s="15" t="n"/>
      <c r="C339" s="15" t="n"/>
      <c r="D339" s="15" t="n"/>
      <c r="E339" s="15" t="n"/>
      <c r="F339" s="15" t="n"/>
      <c r="G339" s="15" t="n"/>
      <c r="H339" s="18" t="inlineStr">
        <is>
          <t>出参</t>
        </is>
      </c>
      <c r="I339" s="19" t="inlineStr">
        <is>
          <t>data</t>
        </is>
      </c>
      <c r="J339" s="19" t="inlineStr">
        <is>
          <t>sections[].groups[].fields[].label</t>
        </is>
      </c>
      <c r="K339" s="19" t="inlineStr">
        <is>
          <t>string</t>
        </is>
      </c>
      <c r="L339" s="18" t="inlineStr"/>
      <c r="M339" s="19" t="inlineStr">
        <is>
          <t>中文名</t>
        </is>
      </c>
      <c r="N339" s="19" t="inlineStr">
        <is>
          <t>CRP</t>
        </is>
      </c>
      <c r="O339" s="19" t="inlineStr"/>
      <c r="P339" s="15" t="n"/>
    </row>
    <row r="340" ht="31" customHeight="1">
      <c r="A340" s="15" t="n"/>
      <c r="B340" s="15" t="n"/>
      <c r="C340" s="15" t="n"/>
      <c r="D340" s="15" t="n"/>
      <c r="E340" s="15" t="n"/>
      <c r="F340" s="15" t="n"/>
      <c r="G340" s="15" t="n"/>
      <c r="H340" s="18" t="inlineStr">
        <is>
          <t>出参</t>
        </is>
      </c>
      <c r="I340" s="19" t="inlineStr">
        <is>
          <t>data</t>
        </is>
      </c>
      <c r="J340" s="19" t="inlineStr">
        <is>
          <t>sections[].groups[].fields[].type</t>
        </is>
      </c>
      <c r="K340" s="19" t="inlineStr">
        <is>
          <t>enum</t>
        </is>
      </c>
      <c r="L340" s="18" t="inlineStr"/>
      <c r="M340" s="19" t="inlineStr">
        <is>
          <t>number / text / longtext / date / single / multi</t>
        </is>
      </c>
      <c r="N340" s="19" t="inlineStr">
        <is>
          <t>number</t>
        </is>
      </c>
      <c r="O340" s="19" t="inlineStr"/>
      <c r="P340" s="15" t="n"/>
    </row>
    <row r="341" ht="31" customHeight="1">
      <c r="A341" s="15" t="n"/>
      <c r="B341" s="15" t="n"/>
      <c r="C341" s="15" t="n"/>
      <c r="D341" s="15" t="n"/>
      <c r="E341" s="15" t="n"/>
      <c r="F341" s="15" t="n"/>
      <c r="G341" s="15" t="n"/>
      <c r="H341" s="18" t="inlineStr">
        <is>
          <t>出参</t>
        </is>
      </c>
      <c r="I341" s="19" t="inlineStr">
        <is>
          <t>data</t>
        </is>
      </c>
      <c r="J341" s="19" t="inlineStr">
        <is>
          <t>sections[].groups[].fields[].unit</t>
        </is>
      </c>
      <c r="K341" s="19" t="inlineStr">
        <is>
          <t>string</t>
        </is>
      </c>
      <c r="L341" s="18" t="inlineStr"/>
      <c r="M341" s="19" t="inlineStr">
        <is>
          <t>单位</t>
        </is>
      </c>
      <c r="N341" s="19" t="inlineStr">
        <is>
          <t>mg/L</t>
        </is>
      </c>
      <c r="O341" s="19" t="inlineStr"/>
      <c r="P341" s="15" t="n"/>
    </row>
    <row r="342" ht="31" customHeight="1">
      <c r="A342" s="15" t="n"/>
      <c r="B342" s="15" t="n"/>
      <c r="C342" s="15" t="n"/>
      <c r="D342" s="15" t="n"/>
      <c r="E342" s="15" t="n"/>
      <c r="F342" s="15" t="n"/>
      <c r="G342" s="15" t="n"/>
      <c r="H342" s="18" t="inlineStr">
        <is>
          <t>出参</t>
        </is>
      </c>
      <c r="I342" s="19" t="inlineStr">
        <is>
          <t>data</t>
        </is>
      </c>
      <c r="J342" s="19" t="inlineStr">
        <is>
          <t>sections[].groups[].fields[].min / max</t>
        </is>
      </c>
      <c r="K342" s="19" t="inlineStr">
        <is>
          <t>number</t>
        </is>
      </c>
      <c r="L342" s="18" t="inlineStr"/>
      <c r="M342" s="19" t="inlineStr">
        <is>
          <t>质控取值范围</t>
        </is>
      </c>
      <c r="N342" s="19" t="inlineStr">
        <is>
          <t>0 / 300</t>
        </is>
      </c>
      <c r="O342" s="19" t="inlineStr"/>
      <c r="P342" s="15" t="n"/>
    </row>
    <row r="343" ht="31" customHeight="1">
      <c r="A343" s="15" t="n"/>
      <c r="B343" s="15" t="n"/>
      <c r="C343" s="15" t="n"/>
      <c r="D343" s="15" t="n"/>
      <c r="E343" s="15" t="n"/>
      <c r="F343" s="15" t="n"/>
      <c r="G343" s="15" t="n"/>
      <c r="H343" s="18" t="inlineStr">
        <is>
          <t>出参</t>
        </is>
      </c>
      <c r="I343" s="19" t="inlineStr">
        <is>
          <t>data</t>
        </is>
      </c>
      <c r="J343" s="19" t="inlineStr">
        <is>
          <t>sections[].groups[].fields[].refLow / refHigh</t>
        </is>
      </c>
      <c r="K343" s="19" t="inlineStr">
        <is>
          <t>number</t>
        </is>
      </c>
      <c r="L343" s="18" t="inlineStr"/>
      <c r="M343" s="19" t="inlineStr">
        <is>
          <t>临床参考区间（用于异常高亮）</t>
        </is>
      </c>
      <c r="N343" s="19" t="inlineStr">
        <is>
          <t>0 / 10</t>
        </is>
      </c>
      <c r="O343" s="19" t="inlineStr"/>
      <c r="P343" s="15" t="n"/>
    </row>
    <row r="344" ht="31" customHeight="1">
      <c r="A344" s="15" t="n"/>
      <c r="B344" s="15" t="n"/>
      <c r="C344" s="15" t="n"/>
      <c r="D344" s="15" t="n"/>
      <c r="E344" s="15" t="n"/>
      <c r="F344" s="15" t="n"/>
      <c r="G344" s="15" t="n"/>
      <c r="H344" s="18" t="inlineStr">
        <is>
          <t>出参</t>
        </is>
      </c>
      <c r="I344" s="19" t="inlineStr">
        <is>
          <t>data</t>
        </is>
      </c>
      <c r="J344" s="19" t="inlineStr">
        <is>
          <t>sections[].groups[].fields[].required</t>
        </is>
      </c>
      <c r="K344" s="19" t="inlineStr">
        <is>
          <t>boolean</t>
        </is>
      </c>
      <c r="L344" s="18" t="inlineStr"/>
      <c r="M344" s="19" t="inlineStr">
        <is>
          <t>是否必填</t>
        </is>
      </c>
      <c r="N344" s="19" t="inlineStr">
        <is>
          <t>false</t>
        </is>
      </c>
      <c r="O344" s="19" t="inlineStr"/>
      <c r="P344" s="15" t="n"/>
    </row>
    <row r="345" ht="31" customHeight="1">
      <c r="A345" s="15" t="n"/>
      <c r="B345" s="15" t="n"/>
      <c r="C345" s="15" t="n"/>
      <c r="D345" s="15" t="n"/>
      <c r="E345" s="15" t="n"/>
      <c r="F345" s="15" t="n"/>
      <c r="G345" s="15" t="n"/>
      <c r="H345" s="18" t="inlineStr">
        <is>
          <t>出参</t>
        </is>
      </c>
      <c r="I345" s="19" t="inlineStr">
        <is>
          <t>data</t>
        </is>
      </c>
      <c r="J345" s="19" t="inlineStr">
        <is>
          <t>sections[].groups[].fields[].options[]</t>
        </is>
      </c>
      <c r="K345" s="19" t="inlineStr">
        <is>
          <t>array</t>
        </is>
      </c>
      <c r="L345" s="18" t="inlineStr"/>
      <c r="M345" s="19" t="inlineStr">
        <is>
          <t>选项 {value, label, exportCode}</t>
        </is>
      </c>
      <c r="N345" s="19" t="inlineStr"/>
      <c r="O345" s="19" t="inlineStr"/>
      <c r="P345" s="15" t="n"/>
    </row>
    <row r="346" ht="17.5" customHeight="1">
      <c r="A346" s="8" t="inlineStr">
        <is>
          <t>患者管理</t>
        </is>
      </c>
      <c r="B346" s="8" t="inlineStr">
        <is>
          <t>visit-create.html（新增随访）；随访管理「＋新增随访」也跳到这里</t>
        </is>
      </c>
      <c r="C346" s="8" t="inlineStr">
        <is>
          <t>保存本次随访 / 暂存草稿</t>
        </is>
      </c>
      <c r="D346" s="9" t="inlineStr">
        <is>
          <t>V02</t>
        </is>
      </c>
      <c r="E346" s="10" t="inlineStr">
        <is>
          <t>新增随访</t>
        </is>
      </c>
      <c r="F346" s="11" t="inlineStr">
        <is>
          <t>POST</t>
        </is>
      </c>
      <c r="G346" s="12" t="inlineStr">
        <is>
          <t>/api/v1/patients/{patientId}/visits</t>
        </is>
      </c>
      <c r="H346" s="13" t="inlineStr">
        <is>
          <t>入参</t>
        </is>
      </c>
      <c r="I346" s="14" t="inlineStr">
        <is>
          <t>path</t>
        </is>
      </c>
      <c r="J346" s="14" t="inlineStr">
        <is>
          <t>patientId</t>
        </is>
      </c>
      <c r="K346" s="14" t="inlineStr">
        <is>
          <t>string</t>
        </is>
      </c>
      <c r="L346" s="13" t="inlineStr">
        <is>
          <t>是</t>
        </is>
      </c>
      <c r="M346" s="14" t="inlineStr">
        <is>
          <t>ID号</t>
        </is>
      </c>
      <c r="N346" s="14" t="inlineStr">
        <is>
          <t>611991</t>
        </is>
      </c>
      <c r="O346" s="14" t="inlineStr"/>
      <c r="P346" s="8" t="inlineStr">
        <is>
          <t>submit 时：校验（422 按字段编码返回 details[]）→ 保存 → 计算派生指标（DAS28、CDAI、SDAI、BMI）→ 更新患者最近随访日期 → 跑该患者质控规则 → 写审计「新增随访」。
基本信息卡片只读，数据来自 PT06，不随访视提交。</t>
        </is>
      </c>
    </row>
    <row r="347" ht="17.5" customHeight="1">
      <c r="A347" s="15" t="n"/>
      <c r="B347" s="15" t="n"/>
      <c r="C347" s="15" t="n"/>
      <c r="D347" s="15" t="n"/>
      <c r="E347" s="15" t="n"/>
      <c r="F347" s="15" t="n"/>
      <c r="G347" s="15" t="n"/>
      <c r="H347" s="16" t="inlineStr">
        <is>
          <t>入参</t>
        </is>
      </c>
      <c r="I347" s="17" t="inlineStr">
        <is>
          <t>body</t>
        </is>
      </c>
      <c r="J347" s="17" t="inlineStr">
        <is>
          <t>visitDate</t>
        </is>
      </c>
      <c r="K347" s="17" t="inlineStr">
        <is>
          <t>date</t>
        </is>
      </c>
      <c r="L347" s="16" t="inlineStr">
        <is>
          <t>是</t>
        </is>
      </c>
      <c r="M347" s="17" t="inlineStr">
        <is>
          <t>本次随访日期，不晚于今天；不早于出生日期</t>
        </is>
      </c>
      <c r="N347" s="17" t="inlineStr">
        <is>
          <t>2026-09-30</t>
        </is>
      </c>
      <c r="O347" s="17" t="inlineStr"/>
      <c r="P347" s="15" t="n"/>
    </row>
    <row r="348" ht="17.5" customHeight="1">
      <c r="A348" s="15" t="n"/>
      <c r="B348" s="15" t="n"/>
      <c r="C348" s="15" t="n"/>
      <c r="D348" s="15" t="n"/>
      <c r="E348" s="15" t="n"/>
      <c r="F348" s="15" t="n"/>
      <c r="G348" s="15" t="n"/>
      <c r="H348" s="16" t="inlineStr">
        <is>
          <t>入参</t>
        </is>
      </c>
      <c r="I348" s="17" t="inlineStr">
        <is>
          <t>body</t>
        </is>
      </c>
      <c r="J348" s="17" t="inlineStr">
        <is>
          <t>visitType</t>
        </is>
      </c>
      <c r="K348" s="17" t="inlineStr">
        <is>
          <t>enum</t>
        </is>
      </c>
      <c r="L348" s="16" t="inlineStr">
        <is>
          <t>否</t>
        </is>
      </c>
      <c r="M348" s="17" t="inlineStr">
        <is>
          <t>不传：首次=baseline，其后=followup</t>
        </is>
      </c>
      <c r="N348" s="17" t="inlineStr">
        <is>
          <t>followup</t>
        </is>
      </c>
      <c r="O348" s="17" t="inlineStr"/>
      <c r="P348" s="15" t="n"/>
    </row>
    <row r="349" ht="17.5" customHeight="1">
      <c r="A349" s="15" t="n"/>
      <c r="B349" s="15" t="n"/>
      <c r="C349" s="15" t="n"/>
      <c r="D349" s="15" t="n"/>
      <c r="E349" s="15" t="n"/>
      <c r="F349" s="15" t="n"/>
      <c r="G349" s="15" t="n"/>
      <c r="H349" s="16" t="inlineStr">
        <is>
          <t>入参</t>
        </is>
      </c>
      <c r="I349" s="17" t="inlineStr">
        <is>
          <t>body</t>
        </is>
      </c>
      <c r="J349" s="17" t="inlineStr">
        <is>
          <t>method</t>
        </is>
      </c>
      <c r="K349" s="17" t="inlineStr">
        <is>
          <t>enum</t>
        </is>
      </c>
      <c r="L349" s="16" t="inlineStr">
        <is>
          <t>否</t>
        </is>
      </c>
      <c r="M349" s="17" t="inlineStr">
        <is>
          <t>访视方式，默认 outpatient</t>
        </is>
      </c>
      <c r="N349" s="17" t="inlineStr">
        <is>
          <t>outpatient</t>
        </is>
      </c>
      <c r="O349" s="17" t="inlineStr"/>
      <c r="P349" s="15" t="n"/>
    </row>
    <row r="350" ht="71.5" customHeight="1">
      <c r="A350" s="15" t="n"/>
      <c r="B350" s="15" t="n"/>
      <c r="C350" s="15" t="n"/>
      <c r="D350" s="15" t="n"/>
      <c r="E350" s="15" t="n"/>
      <c r="F350" s="15" t="n"/>
      <c r="G350" s="15" t="n"/>
      <c r="H350" s="16" t="inlineStr">
        <is>
          <t>入参</t>
        </is>
      </c>
      <c r="I350" s="17" t="inlineStr">
        <is>
          <t>body</t>
        </is>
      </c>
      <c r="J350" s="17" t="inlineStr">
        <is>
          <t>crf</t>
        </is>
      </c>
      <c r="K350" s="17" t="inlineStr">
        <is>
          <t>object</t>
        </is>
      </c>
      <c r="L350" s="16" t="inlineStr">
        <is>
          <t>是</t>
        </is>
      </c>
      <c r="M350" s="17" t="inlineStr">
        <is>
          <t>CRF 数据，键=字段编码，值按字段类型；多选为数组；重复组为对象数组</t>
        </is>
      </c>
      <c r="N350" s="17" t="inlineStr">
        <is>
          <t>{"LAB.crp":12.5,"ASM.tjc28":6,"HIS.flare_triggers":["fatigue"],"TRT.med":[{"drug_name":"甲氨蝶呤","dose":15}]}</t>
        </is>
      </c>
      <c r="O350" s="17" t="inlineStr"/>
      <c r="P350" s="15" t="n"/>
    </row>
    <row r="351" ht="17.5" customHeight="1">
      <c r="A351" s="15" t="n"/>
      <c r="B351" s="15" t="n"/>
      <c r="C351" s="15" t="n"/>
      <c r="D351" s="15" t="n"/>
      <c r="E351" s="15" t="n"/>
      <c r="F351" s="15" t="n"/>
      <c r="G351" s="15" t="n"/>
      <c r="H351" s="16" t="inlineStr">
        <is>
          <t>入参</t>
        </is>
      </c>
      <c r="I351" s="17" t="inlineStr">
        <is>
          <t>body</t>
        </is>
      </c>
      <c r="J351" s="17" t="inlineStr">
        <is>
          <t>fileIds</t>
        </is>
      </c>
      <c r="K351" s="17" t="inlineStr">
        <is>
          <t>string[]</t>
        </is>
      </c>
      <c r="L351" s="16" t="inlineStr">
        <is>
          <t>否</t>
        </is>
      </c>
      <c r="M351" s="17" t="inlineStr">
        <is>
          <t>本次绑定的附件</t>
        </is>
      </c>
      <c r="N351" s="17" t="inlineStr">
        <is>
          <t>["f_8a1c"]</t>
        </is>
      </c>
      <c r="O351" s="17" t="inlineStr"/>
      <c r="P351" s="15" t="n"/>
    </row>
    <row r="352" ht="31" customHeight="1">
      <c r="A352" s="15" t="n"/>
      <c r="B352" s="15" t="n"/>
      <c r="C352" s="15" t="n"/>
      <c r="D352" s="15" t="n"/>
      <c r="E352" s="15" t="n"/>
      <c r="F352" s="15" t="n"/>
      <c r="G352" s="15" t="n"/>
      <c r="H352" s="16" t="inlineStr">
        <is>
          <t>入参</t>
        </is>
      </c>
      <c r="I352" s="17" t="inlineStr">
        <is>
          <t>body</t>
        </is>
      </c>
      <c r="J352" s="17" t="inlineStr">
        <is>
          <t>action</t>
        </is>
      </c>
      <c r="K352" s="17" t="inlineStr">
        <is>
          <t>enum</t>
        </is>
      </c>
      <c r="L352" s="16" t="inlineStr">
        <is>
          <t>是</t>
        </is>
      </c>
      <c r="M352" s="17" t="inlineStr">
        <is>
          <t>draft 暂存草稿（不校验必填、不跑质控）/ submit 保存</t>
        </is>
      </c>
      <c r="N352" s="17" t="inlineStr">
        <is>
          <t>submit</t>
        </is>
      </c>
      <c r="O352" s="17" t="inlineStr"/>
      <c r="P352" s="15" t="n"/>
    </row>
    <row r="353" ht="17.5" customHeight="1">
      <c r="A353" s="15" t="n"/>
      <c r="B353" s="15" t="n"/>
      <c r="C353" s="15" t="n"/>
      <c r="D353" s="15" t="n"/>
      <c r="E353" s="15" t="n"/>
      <c r="F353" s="15" t="n"/>
      <c r="G353" s="15" t="n"/>
      <c r="H353" s="18" t="inlineStr">
        <is>
          <t>出参</t>
        </is>
      </c>
      <c r="I353" s="19" t="inlineStr">
        <is>
          <t>data</t>
        </is>
      </c>
      <c r="J353" s="19" t="inlineStr">
        <is>
          <t>visitId</t>
        </is>
      </c>
      <c r="K353" s="19" t="inlineStr">
        <is>
          <t>string</t>
        </is>
      </c>
      <c r="L353" s="18" t="inlineStr"/>
      <c r="M353" s="19" t="inlineStr">
        <is>
          <t>访视 ID</t>
        </is>
      </c>
      <c r="N353" s="19" t="inlineStr">
        <is>
          <t>v_20260930_001</t>
        </is>
      </c>
      <c r="O353" s="19" t="inlineStr"/>
      <c r="P353" s="15" t="n"/>
    </row>
    <row r="354" ht="17.5" customHeight="1">
      <c r="A354" s="15" t="n"/>
      <c r="B354" s="15" t="n"/>
      <c r="C354" s="15" t="n"/>
      <c r="D354" s="15" t="n"/>
      <c r="E354" s="15" t="n"/>
      <c r="F354" s="15" t="n"/>
      <c r="G354" s="15" t="n"/>
      <c r="H354" s="18" t="inlineStr">
        <is>
          <t>出参</t>
        </is>
      </c>
      <c r="I354" s="19" t="inlineStr">
        <is>
          <t>data</t>
        </is>
      </c>
      <c r="J354" s="19" t="inlineStr">
        <is>
          <t>visitNo</t>
        </is>
      </c>
      <c r="K354" s="19" t="inlineStr">
        <is>
          <t>integer</t>
        </is>
      </c>
      <c r="L354" s="18" t="inlineStr"/>
      <c r="M354" s="19" t="inlineStr">
        <is>
          <t>第几次随访</t>
        </is>
      </c>
      <c r="N354" s="19" t="inlineStr">
        <is>
          <t>7</t>
        </is>
      </c>
      <c r="O354" s="19" t="inlineStr"/>
      <c r="P354" s="15" t="n"/>
    </row>
    <row r="355" ht="17.5" customHeight="1">
      <c r="A355" s="15" t="n"/>
      <c r="B355" s="15" t="n"/>
      <c r="C355" s="15" t="n"/>
      <c r="D355" s="15" t="n"/>
      <c r="E355" s="15" t="n"/>
      <c r="F355" s="15" t="n"/>
      <c r="G355" s="15" t="n"/>
      <c r="H355" s="18" t="inlineStr">
        <is>
          <t>出参</t>
        </is>
      </c>
      <c r="I355" s="19" t="inlineStr">
        <is>
          <t>data</t>
        </is>
      </c>
      <c r="J355" s="19" t="inlineStr">
        <is>
          <t>status</t>
        </is>
      </c>
      <c r="K355" s="19" t="inlineStr">
        <is>
          <t>enum</t>
        </is>
      </c>
      <c r="L355" s="18" t="inlineStr"/>
      <c r="M355" s="19" t="inlineStr">
        <is>
          <t>draft / submitted</t>
        </is>
      </c>
      <c r="N355" s="19" t="inlineStr">
        <is>
          <t>submitted</t>
        </is>
      </c>
      <c r="O355" s="19" t="inlineStr"/>
      <c r="P355" s="15" t="n"/>
    </row>
    <row r="356" ht="17.5" customHeight="1">
      <c r="A356" s="15" t="n"/>
      <c r="B356" s="15" t="n"/>
      <c r="C356" s="15" t="n"/>
      <c r="D356" s="15" t="n"/>
      <c r="E356" s="15" t="n"/>
      <c r="F356" s="15" t="n"/>
      <c r="G356" s="15" t="n"/>
      <c r="H356" s="18" t="inlineStr">
        <is>
          <t>出参</t>
        </is>
      </c>
      <c r="I356" s="19" t="inlineStr">
        <is>
          <t>data</t>
        </is>
      </c>
      <c r="J356" s="19" t="inlineStr">
        <is>
          <t>filledCount</t>
        </is>
      </c>
      <c r="K356" s="19" t="inlineStr">
        <is>
          <t>integer</t>
        </is>
      </c>
      <c r="L356" s="18" t="inlineStr"/>
      <c r="M356" s="19" t="inlineStr">
        <is>
          <t>填写项数（写入审计「填写 N 项」）</t>
        </is>
      </c>
      <c r="N356" s="19" t="inlineStr">
        <is>
          <t>42</t>
        </is>
      </c>
      <c r="O356" s="19" t="inlineStr"/>
      <c r="P356" s="15" t="n"/>
    </row>
    <row r="357" ht="17.5" customHeight="1">
      <c r="A357" s="15" t="n"/>
      <c r="B357" s="15" t="n"/>
      <c r="C357" s="15" t="n"/>
      <c r="D357" s="15" t="n"/>
      <c r="E357" s="15" t="n"/>
      <c r="F357" s="15" t="n"/>
      <c r="G357" s="15" t="n"/>
      <c r="H357" s="18" t="inlineStr">
        <is>
          <t>出参</t>
        </is>
      </c>
      <c r="I357" s="19" t="inlineStr">
        <is>
          <t>data</t>
        </is>
      </c>
      <c r="J357" s="19" t="inlineStr">
        <is>
          <t>derived.das28Crp / das28Esr</t>
        </is>
      </c>
      <c r="K357" s="19" t="inlineStr">
        <is>
          <t>number</t>
        </is>
      </c>
      <c r="L357" s="18" t="inlineStr"/>
      <c r="M357" s="19" t="inlineStr">
        <is>
          <t>服务端计算的 DAS28（缺组成项时为 null）</t>
        </is>
      </c>
      <c r="N357" s="19" t="inlineStr">
        <is>
          <t>3.4</t>
        </is>
      </c>
      <c r="O357" s="19" t="inlineStr"/>
      <c r="P357" s="15" t="n"/>
    </row>
    <row r="358" ht="17.5" customHeight="1">
      <c r="A358" s="15" t="n"/>
      <c r="B358" s="15" t="n"/>
      <c r="C358" s="15" t="n"/>
      <c r="D358" s="15" t="n"/>
      <c r="E358" s="15" t="n"/>
      <c r="F358" s="15" t="n"/>
      <c r="G358" s="15" t="n"/>
      <c r="H358" s="18" t="inlineStr">
        <is>
          <t>出参</t>
        </is>
      </c>
      <c r="I358" s="19" t="inlineStr">
        <is>
          <t>data</t>
        </is>
      </c>
      <c r="J358" s="19" t="inlineStr">
        <is>
          <t>qcIssues[]</t>
        </is>
      </c>
      <c r="K358" s="19" t="inlineStr">
        <is>
          <t>array</t>
        </is>
      </c>
      <c r="L358" s="18" t="inlineStr"/>
      <c r="M358" s="19" t="inlineStr">
        <is>
          <t>本次提交新产生的质控问题，结构同 Q01 items</t>
        </is>
      </c>
      <c r="N358" s="19" t="inlineStr"/>
      <c r="O358" s="19" t="inlineStr"/>
      <c r="P358" s="15" t="n"/>
    </row>
    <row r="359" ht="17.5" customHeight="1">
      <c r="A359" s="15" t="n"/>
      <c r="B359" s="15" t="n"/>
      <c r="C359" s="15" t="n"/>
      <c r="D359" s="15" t="n"/>
      <c r="E359" s="15" t="n"/>
      <c r="F359" s="15" t="n"/>
      <c r="G359" s="15" t="n"/>
      <c r="H359" s="18" t="inlineStr">
        <is>
          <t>出参</t>
        </is>
      </c>
      <c r="I359" s="19" t="inlineStr">
        <is>
          <t>data</t>
        </is>
      </c>
      <c r="J359" s="19" t="inlineStr">
        <is>
          <t>patient.nextFollowup</t>
        </is>
      </c>
      <c r="K359" s="19" t="inlineStr">
        <is>
          <t>object</t>
        </is>
      </c>
      <c r="L359" s="18" t="inlineStr"/>
      <c r="M359" s="19" t="inlineStr">
        <is>
          <t>更新后的下次随访，结构同 PT06</t>
        </is>
      </c>
      <c r="N359" s="19" t="inlineStr"/>
      <c r="O359" s="19" t="inlineStr"/>
      <c r="P359" s="15" t="n"/>
    </row>
    <row r="360" ht="17.5" customHeight="1">
      <c r="A360" s="8" t="inlineStr">
        <is>
          <t>患者管理</t>
        </is>
      </c>
      <c r="B360" s="8" t="inlineStr">
        <is>
          <t>visit-detail.html</t>
        </is>
      </c>
      <c r="C360" s="8" t="inlineStr">
        <is>
          <t>访视详情（7 个模块 + 异常指标）</t>
        </is>
      </c>
      <c r="D360" s="9" t="inlineStr">
        <is>
          <t>V03</t>
        </is>
      </c>
      <c r="E360" s="10" t="inlineStr">
        <is>
          <t>访视详情</t>
        </is>
      </c>
      <c r="F360" s="11" t="inlineStr">
        <is>
          <t>GET</t>
        </is>
      </c>
      <c r="G360" s="12" t="inlineStr">
        <is>
          <t>/api/v1/visits/{visitId}</t>
        </is>
      </c>
      <c r="H360" s="13" t="inlineStr">
        <is>
          <t>入参</t>
        </is>
      </c>
      <c r="I360" s="14" t="inlineStr">
        <is>
          <t>path</t>
        </is>
      </c>
      <c r="J360" s="14" t="inlineStr">
        <is>
          <t>visitId</t>
        </is>
      </c>
      <c r="K360" s="14" t="inlineStr">
        <is>
          <t>string</t>
        </is>
      </c>
      <c r="L360" s="13" t="inlineStr">
        <is>
          <t>是</t>
        </is>
      </c>
      <c r="M360" s="14" t="inlineStr">
        <is>
          <t>访视 ID</t>
        </is>
      </c>
      <c r="N360" s="14" t="inlineStr">
        <is>
          <t>v_20260908_001</t>
        </is>
      </c>
      <c r="O360" s="14" t="inlineStr"/>
      <c r="P360" s="8" t="inlineStr">
        <is>
          <t>「编辑本次随访」进入 visit-create.html?visit=，用本接口数据回填。
「问问AI」「AI纸质病历拍照导入」属于 AI，本文档不含。</t>
        </is>
      </c>
    </row>
    <row r="361" ht="44.5" customHeight="1">
      <c r="A361" s="15" t="n"/>
      <c r="B361" s="15" t="n"/>
      <c r="C361" s="15" t="n"/>
      <c r="D361" s="15" t="n"/>
      <c r="E361" s="15" t="n"/>
      <c r="F361" s="15" t="n"/>
      <c r="G361" s="15" t="n"/>
      <c r="H361" s="18" t="inlineStr">
        <is>
          <t>出参</t>
        </is>
      </c>
      <c r="I361" s="19" t="inlineStr">
        <is>
          <t>data</t>
        </is>
      </c>
      <c r="J361" s="19" t="inlineStr">
        <is>
          <t>patient</t>
        </is>
      </c>
      <c r="K361" s="19" t="inlineStr">
        <is>
          <t>object</t>
        </is>
      </c>
      <c r="L361" s="18" t="inlineStr"/>
      <c r="M361" s="19" t="inlineStr">
        <is>
          <t>页面顶部患者信息，结构同 PT06（精简：姓名、编号、性别、出生年、脱敏手机/身份证、民族、婚史、建档日期、随访观察起始、脱落信息）</t>
        </is>
      </c>
      <c r="N361" s="19" t="inlineStr"/>
      <c r="O361" s="19" t="inlineStr"/>
      <c r="P361" s="15" t="n"/>
    </row>
    <row r="362" ht="44.5" customHeight="1">
      <c r="A362" s="15" t="n"/>
      <c r="B362" s="15" t="n"/>
      <c r="C362" s="15" t="n"/>
      <c r="D362" s="15" t="n"/>
      <c r="E362" s="15" t="n"/>
      <c r="F362" s="15" t="n"/>
      <c r="G362" s="15" t="n"/>
      <c r="H362" s="18" t="inlineStr">
        <is>
          <t>出参</t>
        </is>
      </c>
      <c r="I362" s="19" t="inlineStr">
        <is>
          <t>data</t>
        </is>
      </c>
      <c r="J362" s="19" t="inlineStr">
        <is>
          <t>visit.visitId / visitNo / visitType / visitDate / method / doctorName / status</t>
        </is>
      </c>
      <c r="K362" s="19" t="inlineStr">
        <is>
          <t>—</t>
        </is>
      </c>
      <c r="L362" s="18" t="inlineStr"/>
      <c r="M362" s="19" t="inlineStr">
        <is>
          <t>同 PT08</t>
        </is>
      </c>
      <c r="N362" s="19" t="inlineStr"/>
      <c r="O362" s="19" t="inlineStr"/>
      <c r="P362" s="15" t="n"/>
    </row>
    <row r="363" ht="17.5" customHeight="1">
      <c r="A363" s="15" t="n"/>
      <c r="B363" s="15" t="n"/>
      <c r="C363" s="15" t="n"/>
      <c r="D363" s="15" t="n"/>
      <c r="E363" s="15" t="n"/>
      <c r="F363" s="15" t="n"/>
      <c r="G363" s="15" t="n"/>
      <c r="H363" s="18" t="inlineStr">
        <is>
          <t>出参</t>
        </is>
      </c>
      <c r="I363" s="19" t="inlineStr">
        <is>
          <t>data</t>
        </is>
      </c>
      <c r="J363" s="19" t="inlineStr">
        <is>
          <t>visit.crfVersion</t>
        </is>
      </c>
      <c r="K363" s="19" t="inlineStr">
        <is>
          <t>string</t>
        </is>
      </c>
      <c r="L363" s="18" t="inlineStr"/>
      <c r="M363" s="19" t="inlineStr">
        <is>
          <t>录入时的 CRF 版本</t>
        </is>
      </c>
      <c r="N363" s="19" t="inlineStr">
        <is>
          <t>1.0</t>
        </is>
      </c>
      <c r="O363" s="19" t="inlineStr"/>
      <c r="P363" s="15" t="n"/>
    </row>
    <row r="364" ht="17.5" customHeight="1">
      <c r="A364" s="15" t="n"/>
      <c r="B364" s="15" t="n"/>
      <c r="C364" s="15" t="n"/>
      <c r="D364" s="15" t="n"/>
      <c r="E364" s="15" t="n"/>
      <c r="F364" s="15" t="n"/>
      <c r="G364" s="15" t="n"/>
      <c r="H364" s="18" t="inlineStr">
        <is>
          <t>出参</t>
        </is>
      </c>
      <c r="I364" s="19" t="inlineStr">
        <is>
          <t>data</t>
        </is>
      </c>
      <c r="J364" s="19" t="inlineStr">
        <is>
          <t>crf</t>
        </is>
      </c>
      <c r="K364" s="19" t="inlineStr">
        <is>
          <t>object</t>
        </is>
      </c>
      <c r="L364" s="18" t="inlineStr"/>
      <c r="M364" s="19" t="inlineStr">
        <is>
          <t>CRF 数据，键=字段编码</t>
        </is>
      </c>
      <c r="N364" s="19" t="inlineStr"/>
      <c r="O364" s="19" t="inlineStr"/>
      <c r="P364" s="15" t="n"/>
    </row>
    <row r="365" ht="31" customHeight="1">
      <c r="A365" s="15" t="n"/>
      <c r="B365" s="15" t="n"/>
      <c r="C365" s="15" t="n"/>
      <c r="D365" s="15" t="n"/>
      <c r="E365" s="15" t="n"/>
      <c r="F365" s="15" t="n"/>
      <c r="G365" s="15" t="n"/>
      <c r="H365" s="18" t="inlineStr">
        <is>
          <t>出参</t>
        </is>
      </c>
      <c r="I365" s="19" t="inlineStr">
        <is>
          <t>data</t>
        </is>
      </c>
      <c r="J365" s="19" t="inlineStr">
        <is>
          <t>labFlags</t>
        </is>
      </c>
      <c r="K365" s="19" t="inlineStr">
        <is>
          <t>object</t>
        </is>
      </c>
      <c r="L365" s="18" t="inlineStr"/>
      <c r="M365" s="19" t="inlineStr">
        <is>
          <t>检验异常标记，键=字段编码，值 H / L / N / ND(未查)</t>
        </is>
      </c>
      <c r="N365" s="19" t="inlineStr">
        <is>
          <t>{"LAB.esr":"H","LAB.hgb":"L"}</t>
        </is>
      </c>
      <c r="O365" s="19" t="inlineStr"/>
      <c r="P365" s="15" t="n"/>
    </row>
    <row r="366" ht="17.5" customHeight="1">
      <c r="A366" s="15" t="n"/>
      <c r="B366" s="15" t="n"/>
      <c r="C366" s="15" t="n"/>
      <c r="D366" s="15" t="n"/>
      <c r="E366" s="15" t="n"/>
      <c r="F366" s="15" t="n"/>
      <c r="G366" s="15" t="n"/>
      <c r="H366" s="18" t="inlineStr">
        <is>
          <t>出参</t>
        </is>
      </c>
      <c r="I366" s="19" t="inlineStr">
        <is>
          <t>data</t>
        </is>
      </c>
      <c r="J366" s="19" t="inlineStr">
        <is>
          <t>abnormalCount</t>
        </is>
      </c>
      <c r="K366" s="19" t="inlineStr">
        <is>
          <t>integer</t>
        </is>
      </c>
      <c r="L366" s="18" t="inlineStr"/>
      <c r="M366" s="19" t="inlineStr">
        <is>
          <t>异常指标项数（页面「异常指标 N 项」）</t>
        </is>
      </c>
      <c r="N366" s="19" t="inlineStr">
        <is>
          <t>2</t>
        </is>
      </c>
      <c r="O366" s="19" t="inlineStr"/>
      <c r="P366" s="15" t="n"/>
    </row>
    <row r="367" ht="17.5" customHeight="1">
      <c r="A367" s="15" t="n"/>
      <c r="B367" s="15" t="n"/>
      <c r="C367" s="15" t="n"/>
      <c r="D367" s="15" t="n"/>
      <c r="E367" s="15" t="n"/>
      <c r="F367" s="15" t="n"/>
      <c r="G367" s="15" t="n"/>
      <c r="H367" s="18" t="inlineStr">
        <is>
          <t>出参</t>
        </is>
      </c>
      <c r="I367" s="19" t="inlineStr">
        <is>
          <t>data</t>
        </is>
      </c>
      <c r="J367" s="19" t="inlineStr">
        <is>
          <t>derived.das28Esr</t>
        </is>
      </c>
      <c r="K367" s="19" t="inlineStr">
        <is>
          <t>number</t>
        </is>
      </c>
      <c r="L367" s="18" t="inlineStr"/>
      <c r="M367" s="19" t="inlineStr">
        <is>
          <t>DAS28-ESR</t>
        </is>
      </c>
      <c r="N367" s="19" t="inlineStr">
        <is>
          <t>3.9</t>
        </is>
      </c>
      <c r="O367" s="19" t="inlineStr"/>
      <c r="P367" s="15" t="n"/>
    </row>
    <row r="368" ht="17.5" customHeight="1">
      <c r="A368" s="15" t="n"/>
      <c r="B368" s="15" t="n"/>
      <c r="C368" s="15" t="n"/>
      <c r="D368" s="15" t="n"/>
      <c r="E368" s="15" t="n"/>
      <c r="F368" s="15" t="n"/>
      <c r="G368" s="15" t="n"/>
      <c r="H368" s="18" t="inlineStr">
        <is>
          <t>出参</t>
        </is>
      </c>
      <c r="I368" s="19" t="inlineStr">
        <is>
          <t>data</t>
        </is>
      </c>
      <c r="J368" s="19" t="inlineStr">
        <is>
          <t>derived.das28Crp</t>
        </is>
      </c>
      <c r="K368" s="19" t="inlineStr">
        <is>
          <t>number</t>
        </is>
      </c>
      <c r="L368" s="18" t="inlineStr"/>
      <c r="M368" s="19" t="inlineStr">
        <is>
          <t>DAS28-CRP</t>
        </is>
      </c>
      <c r="N368" s="19" t="inlineStr">
        <is>
          <t>3.4</t>
        </is>
      </c>
      <c r="O368" s="19" t="inlineStr"/>
      <c r="P368" s="15" t="n"/>
    </row>
    <row r="369" ht="17.5" customHeight="1">
      <c r="A369" s="15" t="n"/>
      <c r="B369" s="15" t="n"/>
      <c r="C369" s="15" t="n"/>
      <c r="D369" s="15" t="n"/>
      <c r="E369" s="15" t="n"/>
      <c r="F369" s="15" t="n"/>
      <c r="G369" s="15" t="n"/>
      <c r="H369" s="18" t="inlineStr">
        <is>
          <t>出参</t>
        </is>
      </c>
      <c r="I369" s="19" t="inlineStr">
        <is>
          <t>data</t>
        </is>
      </c>
      <c r="J369" s="19" t="inlineStr">
        <is>
          <t>derived.activityLevel</t>
        </is>
      </c>
      <c r="K369" s="19" t="inlineStr">
        <is>
          <t>enum</t>
        </is>
      </c>
      <c r="L369" s="18" t="inlineStr"/>
      <c r="M369" s="19" t="inlineStr">
        <is>
          <t>见枚举 das28Level</t>
        </is>
      </c>
      <c r="N369" s="19" t="inlineStr">
        <is>
          <t>moderate</t>
        </is>
      </c>
      <c r="O369" s="19" t="inlineStr"/>
      <c r="P369" s="15" t="n"/>
    </row>
    <row r="370" ht="17.5" customHeight="1">
      <c r="A370" s="15" t="n"/>
      <c r="B370" s="15" t="n"/>
      <c r="C370" s="15" t="n"/>
      <c r="D370" s="15" t="n"/>
      <c r="E370" s="15" t="n"/>
      <c r="F370" s="15" t="n"/>
      <c r="G370" s="15" t="n"/>
      <c r="H370" s="18" t="inlineStr">
        <is>
          <t>出参</t>
        </is>
      </c>
      <c r="I370" s="19" t="inlineStr">
        <is>
          <t>data</t>
        </is>
      </c>
      <c r="J370" s="19" t="inlineStr">
        <is>
          <t>derived.cdai / sdai</t>
        </is>
      </c>
      <c r="K370" s="19" t="inlineStr">
        <is>
          <t>number</t>
        </is>
      </c>
      <c r="L370" s="18" t="inlineStr"/>
      <c r="M370" s="19" t="inlineStr">
        <is>
          <t>CDAI / SDAI（组成项齐全时）</t>
        </is>
      </c>
      <c r="N370" s="19" t="inlineStr">
        <is>
          <t>18.0</t>
        </is>
      </c>
      <c r="O370" s="19" t="inlineStr"/>
      <c r="P370" s="15" t="n"/>
    </row>
    <row r="371" ht="31" customHeight="1">
      <c r="A371" s="15" t="n"/>
      <c r="B371" s="15" t="n"/>
      <c r="C371" s="15" t="n"/>
      <c r="D371" s="15" t="n"/>
      <c r="E371" s="15" t="n"/>
      <c r="F371" s="15" t="n"/>
      <c r="G371" s="15" t="n"/>
      <c r="H371" s="18" t="inlineStr">
        <is>
          <t>出参</t>
        </is>
      </c>
      <c r="I371" s="19" t="inlineStr">
        <is>
          <t>data</t>
        </is>
      </c>
      <c r="J371" s="19" t="inlineStr">
        <is>
          <t>entries[]</t>
        </is>
      </c>
      <c r="K371" s="19" t="inlineStr">
        <is>
          <t>array</t>
        </is>
      </c>
      <c r="L371" s="18" t="inlineStr"/>
      <c r="M371" s="19" t="inlineStr">
        <is>
          <t>本次录入内容清单 {section, label, value}，只列有值的字段</t>
        </is>
      </c>
      <c r="N371" s="19" t="inlineStr"/>
      <c r="O371" s="19" t="inlineStr"/>
      <c r="P371" s="15" t="n"/>
    </row>
    <row r="372" ht="17.5" customHeight="1">
      <c r="A372" s="15" t="n"/>
      <c r="B372" s="15" t="n"/>
      <c r="C372" s="15" t="n"/>
      <c r="D372" s="15" t="n"/>
      <c r="E372" s="15" t="n"/>
      <c r="F372" s="15" t="n"/>
      <c r="G372" s="15" t="n"/>
      <c r="H372" s="18" t="inlineStr">
        <is>
          <t>出参</t>
        </is>
      </c>
      <c r="I372" s="19" t="inlineStr">
        <is>
          <t>data</t>
        </is>
      </c>
      <c r="J372" s="19" t="inlineStr">
        <is>
          <t>files[]</t>
        </is>
      </c>
      <c r="K372" s="19" t="inlineStr">
        <is>
          <t>array</t>
        </is>
      </c>
      <c r="L372" s="18" t="inlineStr"/>
      <c r="M372" s="19" t="inlineStr">
        <is>
          <t>附件 {fileId, fileName, url}</t>
        </is>
      </c>
      <c r="N372" s="19" t="inlineStr"/>
      <c r="O372" s="19" t="inlineStr"/>
      <c r="P372" s="15" t="n"/>
    </row>
    <row r="373" ht="31" customHeight="1">
      <c r="A373" s="15" t="n"/>
      <c r="B373" s="15" t="n"/>
      <c r="C373" s="15" t="n"/>
      <c r="D373" s="15" t="n"/>
      <c r="E373" s="15" t="n"/>
      <c r="F373" s="15" t="n"/>
      <c r="G373" s="15" t="n"/>
      <c r="H373" s="18" t="inlineStr">
        <is>
          <t>出参</t>
        </is>
      </c>
      <c r="I373" s="19" t="inlineStr">
        <is>
          <t>data</t>
        </is>
      </c>
      <c r="J373" s="19" t="inlineStr">
        <is>
          <t>openQcIssues[]</t>
        </is>
      </c>
      <c r="K373" s="19" t="inlineStr">
        <is>
          <t>array</t>
        </is>
      </c>
      <c r="L373" s="18" t="inlineStr"/>
      <c r="M373" s="19" t="inlineStr">
        <is>
          <t>该访视未关闭的质控问题 {issueId, fieldCode, text}，用于表单高亮定位</t>
        </is>
      </c>
      <c r="N373" s="19" t="inlineStr"/>
      <c r="O373" s="19" t="inlineStr"/>
      <c r="P373" s="15" t="n"/>
    </row>
    <row r="374" ht="17.5" customHeight="1">
      <c r="A374" s="15" t="n"/>
      <c r="B374" s="15" t="n"/>
      <c r="C374" s="15" t="n"/>
      <c r="D374" s="15" t="n"/>
      <c r="E374" s="15" t="n"/>
      <c r="F374" s="15" t="n"/>
      <c r="G374" s="15" t="n"/>
      <c r="H374" s="18" t="inlineStr">
        <is>
          <t>出参</t>
        </is>
      </c>
      <c r="I374" s="19" t="inlineStr">
        <is>
          <t>data</t>
        </is>
      </c>
      <c r="J374" s="19" t="inlineStr">
        <is>
          <t>rowVersion</t>
        </is>
      </c>
      <c r="K374" s="19" t="inlineStr">
        <is>
          <t>integer</t>
        </is>
      </c>
      <c r="L374" s="18" t="inlineStr"/>
      <c r="M374" s="19" t="inlineStr">
        <is>
          <t>版本号</t>
        </is>
      </c>
      <c r="N374" s="19" t="inlineStr">
        <is>
          <t>3</t>
        </is>
      </c>
      <c r="O374" s="19" t="inlineStr"/>
      <c r="P374" s="15" t="n"/>
    </row>
    <row r="375" ht="98.5" customHeight="1">
      <c r="A375" s="15" t="n"/>
      <c r="B375" s="15" t="n"/>
      <c r="C375" s="15" t="n"/>
      <c r="D375" s="15" t="n"/>
      <c r="E375" s="15" t="n"/>
      <c r="F375" s="15" t="n"/>
      <c r="G375" s="15" t="n"/>
      <c r="H375" s="20" t="inlineStr">
        <is>
          <t>页面口径</t>
        </is>
      </c>
      <c r="I375" s="21" t="inlineStr">
        <is>
          <t>—</t>
        </is>
      </c>
      <c r="J375" s="21" t="inlineStr">
        <is>
          <t>latestDas28</t>
        </is>
      </c>
      <c r="K375" s="21" t="inlineStr">
        <is>
          <t>1 位小数</t>
        </is>
      </c>
      <c r="L375" s="20" t="inlineStr"/>
      <c r="M375" s="21" t="inlineStr">
        <is>
          <t>B-05 最近一次 DAS28
患者最近一次有 DAS28 结果的访视值</t>
        </is>
      </c>
      <c r="N375" s="21" t="inlineStr"/>
      <c r="O375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mm）。缺任一组成项则不计算（null）。用哪个版本见待确认表。</t>
        </is>
      </c>
      <c r="P375" s="15" t="n"/>
    </row>
    <row r="376" ht="44.5" customHeight="1">
      <c r="A376" s="15" t="n"/>
      <c r="B376" s="15" t="n"/>
      <c r="C376" s="15" t="n"/>
      <c r="D376" s="15" t="n"/>
      <c r="E376" s="15" t="n"/>
      <c r="F376" s="15" t="n"/>
      <c r="G376" s="15" t="n"/>
      <c r="H376" s="20" t="inlineStr">
        <is>
          <t>页面口径</t>
        </is>
      </c>
      <c r="I376" s="21" t="inlineStr">
        <is>
          <t>—</t>
        </is>
      </c>
      <c r="J376" s="21" t="inlineStr">
        <is>
          <t>das28Level</t>
        </is>
      </c>
      <c r="K376" s="21" t="inlineStr">
        <is>
          <t>枚举</t>
        </is>
      </c>
      <c r="L376" s="20" t="inlineStr"/>
      <c r="M376" s="21" t="inlineStr">
        <is>
          <t>B-06 疾病活动度分级
按 DAS28 分级</t>
        </is>
      </c>
      <c r="N376" s="21" t="inlineStr"/>
      <c r="O376" s="21" t="inlineStr">
        <is>
          <t>remission 缓解：&lt; 2.6；low 低活动：2.6–3.2；moderate 中活动：&gt; 3.2 且 ≤ 5.1；high 高活动：&gt; 5.1。达标 = remission 或 low（≤ 3.2）</t>
        </is>
      </c>
      <c r="P376" s="15" t="n"/>
    </row>
    <row r="377" ht="44.5" customHeight="1">
      <c r="A377" s="15" t="n"/>
      <c r="B377" s="15" t="n"/>
      <c r="C377" s="15" t="n"/>
      <c r="D377" s="15" t="n"/>
      <c r="E377" s="15" t="n"/>
      <c r="F377" s="15" t="n"/>
      <c r="G377" s="15" t="n"/>
      <c r="H377" s="20" t="inlineStr">
        <is>
          <t>页面口径</t>
        </is>
      </c>
      <c r="I377" s="21" t="inlineStr">
        <is>
          <t>辅助检查</t>
        </is>
      </c>
      <c r="J377" s="21" t="inlineStr">
        <is>
          <t>labFlags / abnormalCount</t>
        </is>
      </c>
      <c r="K377" s="21" t="inlineStr">
        <is>
          <t>—</t>
        </is>
      </c>
      <c r="L377" s="20" t="inlineStr"/>
      <c r="M377" s="21" t="inlineStr">
        <is>
          <t>PT-15 异常指标 N 项 / ↑ ↓ 标记
检验值与参考区间比较</t>
        </is>
      </c>
      <c r="N377" s="21" t="inlineStr"/>
      <c r="O377" s="21" t="inlineStr">
        <is>
          <t>值 &gt; refHigh → H；值 &lt; refLow → L；区间内 → N；未录入且标记「未查」→ ND。参考区间以 CRF 字典为准（后期可按医院检验科区间）</t>
        </is>
      </c>
      <c r="P377" s="15" t="n"/>
    </row>
    <row r="378" ht="31" customHeight="1">
      <c r="A378" s="15" t="n"/>
      <c r="B378" s="15" t="n"/>
      <c r="C378" s="15" t="n"/>
      <c r="D378" s="15" t="n"/>
      <c r="E378" s="15" t="n"/>
      <c r="F378" s="15" t="n"/>
      <c r="G378" s="15" t="n"/>
      <c r="H378" s="20" t="inlineStr">
        <is>
          <t>页面口径</t>
        </is>
      </c>
      <c r="I378" s="21" t="inlineStr">
        <is>
          <t>病情评估</t>
        </is>
      </c>
      <c r="J378" s="21" t="inlineStr">
        <is>
          <t>derived.*</t>
        </is>
      </c>
      <c r="K378" s="21" t="inlineStr">
        <is>
          <t>1 位小数</t>
        </is>
      </c>
      <c r="L378" s="20" t="inlineStr"/>
      <c r="M378" s="21" t="inlineStr">
        <is>
          <t>PT-16 DAS28-ESR / DAS28-CRP / 活动度</t>
        </is>
      </c>
      <c r="N378" s="21" t="inlineStr"/>
      <c r="O378" s="21" t="inlineStr">
        <is>
          <t>见 B-05、B-06；CDAI = TJC28 + SJC28 + PtGA/10 + PhGA/10；SDAI = CDAI + CRP(mg/dL)</t>
        </is>
      </c>
      <c r="P378" s="15" t="n"/>
    </row>
    <row r="379" ht="31" customHeight="1">
      <c r="A379" s="15" t="n"/>
      <c r="B379" s="15" t="n"/>
      <c r="C379" s="15" t="n"/>
      <c r="D379" s="15" t="n"/>
      <c r="E379" s="15" t="n"/>
      <c r="F379" s="15" t="n"/>
      <c r="G379" s="15" t="n"/>
      <c r="H379" s="20" t="inlineStr">
        <is>
          <t>页面口径</t>
        </is>
      </c>
      <c r="I379" s="21" t="inlineStr">
        <is>
          <t>本次录入内容</t>
        </is>
      </c>
      <c r="J379" s="21" t="inlineStr">
        <is>
          <t>entries[]</t>
        </is>
      </c>
      <c r="K379" s="21" t="inlineStr">
        <is>
          <t>—</t>
        </is>
      </c>
      <c r="L379" s="20" t="inlineStr"/>
      <c r="M379" s="21" t="inlineStr">
        <is>
          <t>PT-17 字段清单</t>
        </is>
      </c>
      <c r="N379" s="21" t="inlineStr"/>
      <c r="O379" s="21" t="inlineStr">
        <is>
          <t>只列出有值的字段，按 CRF 模块顺序；多选、单选转成中文显示</t>
        </is>
      </c>
      <c r="P379" s="15" t="n"/>
    </row>
    <row r="380" ht="17.5" customHeight="1">
      <c r="A380" s="8" t="inlineStr">
        <is>
          <t>患者管理</t>
        </is>
      </c>
      <c r="B380" s="8" t="inlineStr">
        <is>
          <t>visit-create.html?visit=（编辑随访）</t>
        </is>
      </c>
      <c r="C380" s="8" t="inlineStr">
        <is>
          <t>编辑本次随访 · 保存修改</t>
        </is>
      </c>
      <c r="D380" s="9" t="inlineStr">
        <is>
          <t>V04</t>
        </is>
      </c>
      <c r="E380" s="10" t="inlineStr">
        <is>
          <t>编辑随访</t>
        </is>
      </c>
      <c r="F380" s="11" t="inlineStr">
        <is>
          <t>PUT</t>
        </is>
      </c>
      <c r="G380" s="12" t="inlineStr">
        <is>
          <t>/api/v1/visits/{visitId}</t>
        </is>
      </c>
      <c r="H380" s="13" t="inlineStr">
        <is>
          <t>入参</t>
        </is>
      </c>
      <c r="I380" s="14" t="inlineStr">
        <is>
          <t>path</t>
        </is>
      </c>
      <c r="J380" s="14" t="inlineStr">
        <is>
          <t>visitId</t>
        </is>
      </c>
      <c r="K380" s="14" t="inlineStr">
        <is>
          <t>string</t>
        </is>
      </c>
      <c r="L380" s="13" t="inlineStr">
        <is>
          <t>是</t>
        </is>
      </c>
      <c r="M380" s="14" t="inlineStr">
        <is>
          <t>访视 ID</t>
        </is>
      </c>
      <c r="N380" s="14" t="inlineStr">
        <is>
          <t>v_20260908_001</t>
        </is>
      </c>
      <c r="O380" s="14" t="inlineStr"/>
      <c r="P380" s="8" t="inlineStr">
        <is>
          <t>服务端逐字段比对写审计「编辑随访」，changes 用字段中文名 + 单位，如「ESR：158 → 58 mm/h」。
已锁定（locked）的访视返回 42301。重跑该患者质控：已修正的问题自动关闭。</t>
        </is>
      </c>
    </row>
    <row r="381" ht="17.5" customHeight="1">
      <c r="A381" s="15" t="n"/>
      <c r="B381" s="15" t="n"/>
      <c r="C381" s="15" t="n"/>
      <c r="D381" s="15" t="n"/>
      <c r="E381" s="15" t="n"/>
      <c r="F381" s="15" t="n"/>
      <c r="G381" s="15" t="n"/>
      <c r="H381" s="16" t="inlineStr">
        <is>
          <t>入参</t>
        </is>
      </c>
      <c r="I381" s="17" t="inlineStr">
        <is>
          <t>body</t>
        </is>
      </c>
      <c r="J381" s="17" t="inlineStr">
        <is>
          <t>rowVersion</t>
        </is>
      </c>
      <c r="K381" s="17" t="inlineStr">
        <is>
          <t>integer</t>
        </is>
      </c>
      <c r="L381" s="16" t="inlineStr">
        <is>
          <t>是</t>
        </is>
      </c>
      <c r="M381" s="17" t="inlineStr">
        <is>
          <t>V03 返回的版本号；不一致返回 40901</t>
        </is>
      </c>
      <c r="N381" s="17" t="inlineStr">
        <is>
          <t>3</t>
        </is>
      </c>
      <c r="O381" s="17" t="inlineStr"/>
      <c r="P381" s="15" t="n"/>
    </row>
    <row r="382" ht="31" customHeight="1">
      <c r="A382" s="15" t="n"/>
      <c r="B382" s="15" t="n"/>
      <c r="C382" s="15" t="n"/>
      <c r="D382" s="15" t="n"/>
      <c r="E382" s="15" t="n"/>
      <c r="F382" s="15" t="n"/>
      <c r="G382" s="15" t="n"/>
      <c r="H382" s="16" t="inlineStr">
        <is>
          <t>入参</t>
        </is>
      </c>
      <c r="I382" s="17" t="inlineStr">
        <is>
          <t>body</t>
        </is>
      </c>
      <c r="J382" s="17" t="inlineStr">
        <is>
          <t>visitDate / method / crf / fileIds / action</t>
        </is>
      </c>
      <c r="K382" s="17" t="inlineStr">
        <is>
          <t>—</t>
        </is>
      </c>
      <c r="L382" s="16" t="inlineStr">
        <is>
          <t>—</t>
        </is>
      </c>
      <c r="M382" s="17" t="inlineStr">
        <is>
          <t>同 V02；crf 传完整数据（整体覆盖）</t>
        </is>
      </c>
      <c r="N382" s="17" t="inlineStr"/>
      <c r="O382" s="17" t="inlineStr"/>
      <c r="P382" s="15" t="n"/>
    </row>
    <row r="383" ht="17.5" customHeight="1">
      <c r="A383" s="15" t="n"/>
      <c r="B383" s="15" t="n"/>
      <c r="C383" s="15" t="n"/>
      <c r="D383" s="15" t="n"/>
      <c r="E383" s="15" t="n"/>
      <c r="F383" s="15" t="n"/>
      <c r="G383" s="15" t="n"/>
      <c r="H383" s="16" t="inlineStr">
        <is>
          <t>入参</t>
        </is>
      </c>
      <c r="I383" s="17" t="inlineStr">
        <is>
          <t>body</t>
        </is>
      </c>
      <c r="J383" s="17" t="inlineStr">
        <is>
          <t>reason</t>
        </is>
      </c>
      <c r="K383" s="17" t="inlineStr">
        <is>
          <t>string</t>
        </is>
      </c>
      <c r="L383" s="16" t="inlineStr">
        <is>
          <t>否</t>
        </is>
      </c>
      <c r="M383" s="17" t="inlineStr">
        <is>
          <t>修改原因，写入审计</t>
        </is>
      </c>
      <c r="N383" s="17" t="inlineStr">
        <is>
          <t>录入笔误</t>
        </is>
      </c>
      <c r="O383" s="17" t="inlineStr"/>
      <c r="P383" s="15" t="n"/>
    </row>
    <row r="384" ht="17.5" customHeight="1">
      <c r="A384" s="15" t="n"/>
      <c r="B384" s="15" t="n"/>
      <c r="C384" s="15" t="n"/>
      <c r="D384" s="15" t="n"/>
      <c r="E384" s="15" t="n"/>
      <c r="F384" s="15" t="n"/>
      <c r="G384" s="15" t="n"/>
      <c r="H384" s="18" t="inlineStr">
        <is>
          <t>出参</t>
        </is>
      </c>
      <c r="I384" s="19" t="inlineStr">
        <is>
          <t>data</t>
        </is>
      </c>
      <c r="J384" s="19" t="inlineStr">
        <is>
          <t>changedCount</t>
        </is>
      </c>
      <c r="K384" s="19" t="inlineStr">
        <is>
          <t>integer</t>
        </is>
      </c>
      <c r="L384" s="18" t="inlineStr"/>
      <c r="M384" s="19" t="inlineStr">
        <is>
          <t>修改项数（页面「已保存 N 项修改」）</t>
        </is>
      </c>
      <c r="N384" s="19" t="inlineStr">
        <is>
          <t>3</t>
        </is>
      </c>
      <c r="O384" s="19" t="inlineStr"/>
      <c r="P384" s="15" t="n"/>
    </row>
    <row r="385" ht="31" customHeight="1">
      <c r="A385" s="15" t="n"/>
      <c r="B385" s="15" t="n"/>
      <c r="C385" s="15" t="n"/>
      <c r="D385" s="15" t="n"/>
      <c r="E385" s="15" t="n"/>
      <c r="F385" s="15" t="n"/>
      <c r="G385" s="15" t="n"/>
      <c r="H385" s="18" t="inlineStr">
        <is>
          <t>出参</t>
        </is>
      </c>
      <c r="I385" s="19" t="inlineStr">
        <is>
          <t>data</t>
        </is>
      </c>
      <c r="J385" s="19" t="inlineStr">
        <is>
          <t>visitId / status / derived / qcIssues[]</t>
        </is>
      </c>
      <c r="K385" s="19" t="inlineStr">
        <is>
          <t>—</t>
        </is>
      </c>
      <c r="L385" s="18" t="inlineStr"/>
      <c r="M385" s="19" t="inlineStr">
        <is>
          <t>同 V02</t>
        </is>
      </c>
      <c r="N385" s="19" t="inlineStr"/>
      <c r="O385" s="19" t="inlineStr"/>
      <c r="P385" s="15" t="n"/>
    </row>
    <row r="386" ht="17.5" customHeight="1">
      <c r="A386" s="8" t="inlineStr">
        <is>
          <t>随访管理</t>
        </is>
      </c>
      <c r="B386" s="8" t="inlineStr">
        <is>
          <t>followups.html</t>
        </is>
      </c>
      <c r="C386" s="8" t="inlineStr">
        <is>
          <t>顶部 4 项指标 + 随访计划列表 + 检索筛选分页</t>
        </is>
      </c>
      <c r="D386" s="9" t="inlineStr">
        <is>
          <t>F01</t>
        </is>
      </c>
      <c r="E386" s="10" t="inlineStr">
        <is>
          <t>随访计划列表（含顶部指标）</t>
        </is>
      </c>
      <c r="F386" s="11" t="inlineStr">
        <is>
          <t>GET</t>
        </is>
      </c>
      <c r="G386" s="12" t="inlineStr">
        <is>
          <t>/api/v1/followups</t>
        </is>
      </c>
      <c r="H386" s="13" t="inlineStr">
        <is>
          <t>入参</t>
        </is>
      </c>
      <c r="I386" s="14" t="inlineStr">
        <is>
          <t>query</t>
        </is>
      </c>
      <c r="J386" s="14" t="inlineStr">
        <is>
          <t>studyId</t>
        </is>
      </c>
      <c r="K386" s="14" t="inlineStr">
        <is>
          <t>string</t>
        </is>
      </c>
      <c r="L386" s="13" t="inlineStr">
        <is>
          <t>是</t>
        </is>
      </c>
      <c r="M386" s="14" t="inlineStr">
        <is>
          <t>研究库编码；一期固定 RA</t>
        </is>
      </c>
      <c r="N386" s="14" t="inlineStr">
        <is>
          <t>RA</t>
        </is>
      </c>
      <c r="O386" s="14" t="inlineStr"/>
      <c r="P386" s="8" t="inlineStr">
        <is>
          <t>默认按 days 升序（逾期最久的在最前）。
勾选一位患者点「＋新增随访」跳 visit-create.html，调用 V02，不需要单独接口。
看板跳转带 ?status=overdue / soon 时直接作为筛选条件。</t>
        </is>
      </c>
    </row>
    <row r="387" ht="17.5" customHeight="1">
      <c r="A387" s="15" t="n"/>
      <c r="B387" s="15" t="n"/>
      <c r="C387" s="15" t="n"/>
      <c r="D387" s="15" t="n"/>
      <c r="E387" s="15" t="n"/>
      <c r="F387" s="15" t="n"/>
      <c r="G387" s="15" t="n"/>
      <c r="H387" s="16" t="inlineStr">
        <is>
          <t>入参</t>
        </is>
      </c>
      <c r="I387" s="17" t="inlineStr">
        <is>
          <t>query</t>
        </is>
      </c>
      <c r="J387" s="17" t="inlineStr">
        <is>
          <t>keyword</t>
        </is>
      </c>
      <c r="K387" s="17" t="inlineStr">
        <is>
          <t>string</t>
        </is>
      </c>
      <c r="L387" s="16" t="inlineStr">
        <is>
          <t>否</t>
        </is>
      </c>
      <c r="M387" s="17" t="inlineStr">
        <is>
          <t>姓名 / ID号 / 研究编号，包含匹配</t>
        </is>
      </c>
      <c r="N387" s="17" t="inlineStr">
        <is>
          <t>林</t>
        </is>
      </c>
      <c r="O387" s="17" t="inlineStr"/>
      <c r="P387" s="15" t="n"/>
    </row>
    <row r="388" ht="31" customHeight="1">
      <c r="A388" s="15" t="n"/>
      <c r="B388" s="15" t="n"/>
      <c r="C388" s="15" t="n"/>
      <c r="D388" s="15" t="n"/>
      <c r="E388" s="15" t="n"/>
      <c r="F388" s="15" t="n"/>
      <c r="G388" s="15" t="n"/>
      <c r="H388" s="16" t="inlineStr">
        <is>
          <t>入参</t>
        </is>
      </c>
      <c r="I388" s="17" t="inlineStr">
        <is>
          <t>query</t>
        </is>
      </c>
      <c r="J388" s="17" t="inlineStr">
        <is>
          <t>status</t>
        </is>
      </c>
      <c r="K388" s="17" t="inlineStr">
        <is>
          <t>enum</t>
        </is>
      </c>
      <c r="L388" s="16" t="inlineStr">
        <is>
          <t>否</t>
        </is>
      </c>
      <c r="M388" s="17" t="inlineStr">
        <is>
          <t>overdue 已逾期 / soon 14 天内到期 / later 待随访</t>
        </is>
      </c>
      <c r="N388" s="17" t="inlineStr">
        <is>
          <t>overdue</t>
        </is>
      </c>
      <c r="O388" s="17" t="inlineStr"/>
      <c r="P388" s="15" t="n"/>
    </row>
    <row r="389" ht="17.5" customHeight="1">
      <c r="A389" s="15" t="n"/>
      <c r="B389" s="15" t="n"/>
      <c r="C389" s="15" t="n"/>
      <c r="D389" s="15" t="n"/>
      <c r="E389" s="15" t="n"/>
      <c r="F389" s="15" t="n"/>
      <c r="G389" s="15" t="n"/>
      <c r="H389" s="16" t="inlineStr">
        <is>
          <t>入参</t>
        </is>
      </c>
      <c r="I389" s="17" t="inlineStr">
        <is>
          <t>query</t>
        </is>
      </c>
      <c r="J389" s="17" t="inlineStr">
        <is>
          <t>cycle</t>
        </is>
      </c>
      <c r="K389" s="17" t="inlineStr">
        <is>
          <t>integer</t>
        </is>
      </c>
      <c r="L389" s="16" t="inlineStr">
        <is>
          <t>否</t>
        </is>
      </c>
      <c r="M389" s="17" t="inlineStr">
        <is>
          <t>随访周期 3 / 6 / 12</t>
        </is>
      </c>
      <c r="N389" s="17" t="inlineStr">
        <is>
          <t>6</t>
        </is>
      </c>
      <c r="O389" s="17" t="inlineStr"/>
      <c r="P389" s="15" t="n"/>
    </row>
    <row r="390" ht="17.5" customHeight="1">
      <c r="A390" s="15" t="n"/>
      <c r="B390" s="15" t="n"/>
      <c r="C390" s="15" t="n"/>
      <c r="D390" s="15" t="n"/>
      <c r="E390" s="15" t="n"/>
      <c r="F390" s="15" t="n"/>
      <c r="G390" s="15" t="n"/>
      <c r="H390" s="16" t="inlineStr">
        <is>
          <t>入参</t>
        </is>
      </c>
      <c r="I390" s="17" t="inlineStr">
        <is>
          <t>query</t>
        </is>
      </c>
      <c r="J390" s="17" t="inlineStr">
        <is>
          <t>page</t>
        </is>
      </c>
      <c r="K390" s="17" t="inlineStr">
        <is>
          <t>integer</t>
        </is>
      </c>
      <c r="L390" s="16" t="inlineStr">
        <is>
          <t>否</t>
        </is>
      </c>
      <c r="M390" s="17" t="inlineStr">
        <is>
          <t>页码，从 1 开始，默认 1</t>
        </is>
      </c>
      <c r="N390" s="17" t="inlineStr">
        <is>
          <t>1</t>
        </is>
      </c>
      <c r="O390" s="17" t="inlineStr"/>
      <c r="P390" s="15" t="n"/>
    </row>
    <row r="391" ht="31" customHeight="1">
      <c r="A391" s="15" t="n"/>
      <c r="B391" s="15" t="n"/>
      <c r="C391" s="15" t="n"/>
      <c r="D391" s="15" t="n"/>
      <c r="E391" s="15" t="n"/>
      <c r="F391" s="15" t="n"/>
      <c r="G391" s="15" t="n"/>
      <c r="H391" s="16" t="inlineStr">
        <is>
          <t>入参</t>
        </is>
      </c>
      <c r="I391" s="17" t="inlineStr">
        <is>
          <t>query</t>
        </is>
      </c>
      <c r="J391" s="17" t="inlineStr">
        <is>
          <t>size</t>
        </is>
      </c>
      <c r="K391" s="17" t="inlineStr">
        <is>
          <t>integer</t>
        </is>
      </c>
      <c r="L391" s="16" t="inlineStr">
        <is>
          <t>否</t>
        </is>
      </c>
      <c r="M391" s="17" t="inlineStr">
        <is>
          <t>每页条数，默认 20，最大 200；前端下拉 8 / 16 / 32</t>
        </is>
      </c>
      <c r="N391" s="17" t="inlineStr">
        <is>
          <t>8</t>
        </is>
      </c>
      <c r="O391" s="17" t="inlineStr"/>
      <c r="P391" s="15" t="n"/>
    </row>
    <row r="392" ht="17.5" customHeight="1">
      <c r="A392" s="15" t="n"/>
      <c r="B392" s="15" t="n"/>
      <c r="C392" s="15" t="n"/>
      <c r="D392" s="15" t="n"/>
      <c r="E392" s="15" t="n"/>
      <c r="F392" s="15" t="n"/>
      <c r="G392" s="15" t="n"/>
      <c r="H392" s="18" t="inlineStr">
        <is>
          <t>出参</t>
        </is>
      </c>
      <c r="I392" s="19" t="inlineStr">
        <is>
          <t>data</t>
        </is>
      </c>
      <c r="J392" s="19" t="inlineStr">
        <is>
          <t>kpi.planCount</t>
        </is>
      </c>
      <c r="K392" s="19" t="inlineStr">
        <is>
          <t>integer</t>
        </is>
      </c>
      <c r="L392" s="18" t="inlineStr"/>
      <c r="M392" s="19" t="inlineStr">
        <is>
          <t>计划中随访（不受筛选影响）</t>
        </is>
      </c>
      <c r="N392" s="19" t="inlineStr">
        <is>
          <t>111</t>
        </is>
      </c>
      <c r="O392" s="19" t="inlineStr"/>
      <c r="P392" s="15" t="n"/>
    </row>
    <row r="393" ht="17.5" customHeight="1">
      <c r="A393" s="15" t="n"/>
      <c r="B393" s="15" t="n"/>
      <c r="C393" s="15" t="n"/>
      <c r="D393" s="15" t="n"/>
      <c r="E393" s="15" t="n"/>
      <c r="F393" s="15" t="n"/>
      <c r="G393" s="15" t="n"/>
      <c r="H393" s="18" t="inlineStr">
        <is>
          <t>出参</t>
        </is>
      </c>
      <c r="I393" s="19" t="inlineStr">
        <is>
          <t>data</t>
        </is>
      </c>
      <c r="J393" s="19" t="inlineStr">
        <is>
          <t>kpi.overdue</t>
        </is>
      </c>
      <c r="K393" s="19" t="inlineStr">
        <is>
          <t>integer</t>
        </is>
      </c>
      <c r="L393" s="18" t="inlineStr"/>
      <c r="M393" s="19" t="inlineStr">
        <is>
          <t>已逾期</t>
        </is>
      </c>
      <c r="N393" s="19" t="inlineStr">
        <is>
          <t>31</t>
        </is>
      </c>
      <c r="O393" s="19" t="inlineStr"/>
      <c r="P393" s="15" t="n"/>
    </row>
    <row r="394" ht="17.5" customHeight="1">
      <c r="A394" s="15" t="n"/>
      <c r="B394" s="15" t="n"/>
      <c r="C394" s="15" t="n"/>
      <c r="D394" s="15" t="n"/>
      <c r="E394" s="15" t="n"/>
      <c r="F394" s="15" t="n"/>
      <c r="G394" s="15" t="n"/>
      <c r="H394" s="18" t="inlineStr">
        <is>
          <t>出参</t>
        </is>
      </c>
      <c r="I394" s="19" t="inlineStr">
        <is>
          <t>data</t>
        </is>
      </c>
      <c r="J394" s="19" t="inlineStr">
        <is>
          <t>kpi.soon</t>
        </is>
      </c>
      <c r="K394" s="19" t="inlineStr">
        <is>
          <t>integer</t>
        </is>
      </c>
      <c r="L394" s="18" t="inlineStr"/>
      <c r="M394" s="19" t="inlineStr">
        <is>
          <t>未来 14 天到期</t>
        </is>
      </c>
      <c r="N394" s="19" t="inlineStr">
        <is>
          <t>9</t>
        </is>
      </c>
      <c r="O394" s="19" t="inlineStr"/>
      <c r="P394" s="15" t="n"/>
    </row>
    <row r="395" ht="17.5" customHeight="1">
      <c r="A395" s="15" t="n"/>
      <c r="B395" s="15" t="n"/>
      <c r="C395" s="15" t="n"/>
      <c r="D395" s="15" t="n"/>
      <c r="E395" s="15" t="n"/>
      <c r="F395" s="15" t="n"/>
      <c r="G395" s="15" t="n"/>
      <c r="H395" s="18" t="inlineStr">
        <is>
          <t>出参</t>
        </is>
      </c>
      <c r="I395" s="19" t="inlineStr">
        <is>
          <t>data</t>
        </is>
      </c>
      <c r="J395" s="19" t="inlineStr">
        <is>
          <t>kpi.onTimeRate</t>
        </is>
      </c>
      <c r="K395" s="19" t="inlineStr">
        <is>
          <t>number</t>
        </is>
      </c>
      <c r="L395" s="18" t="inlineStr"/>
      <c r="M395" s="19" t="inlineStr">
        <is>
          <t>按期随访率，0–1</t>
        </is>
      </c>
      <c r="N395" s="19" t="inlineStr">
        <is>
          <t>0.7207</t>
        </is>
      </c>
      <c r="O395" s="19" t="inlineStr"/>
      <c r="P395" s="15" t="n"/>
    </row>
    <row r="396" ht="17.5" customHeight="1">
      <c r="A396" s="15" t="n"/>
      <c r="B396" s="15" t="n"/>
      <c r="C396" s="15" t="n"/>
      <c r="D396" s="15" t="n"/>
      <c r="E396" s="15" t="n"/>
      <c r="F396" s="15" t="n"/>
      <c r="G396" s="15" t="n"/>
      <c r="H396" s="18" t="inlineStr">
        <is>
          <t>出参</t>
        </is>
      </c>
      <c r="I396" s="19" t="inlineStr">
        <is>
          <t>data</t>
        </is>
      </c>
      <c r="J396" s="19" t="inlineStr">
        <is>
          <t>items[].patientId</t>
        </is>
      </c>
      <c r="K396" s="19" t="inlineStr">
        <is>
          <t>string</t>
        </is>
      </c>
      <c r="L396" s="18" t="inlineStr"/>
      <c r="M396" s="19" t="inlineStr">
        <is>
          <t>ID号（患者主键，系统生成，不可修改）</t>
        </is>
      </c>
      <c r="N396" s="19" t="inlineStr">
        <is>
          <t>611991</t>
        </is>
      </c>
      <c r="O396" s="19" t="inlineStr"/>
      <c r="P396" s="15" t="n"/>
    </row>
    <row r="397" ht="17.5" customHeight="1">
      <c r="A397" s="15" t="n"/>
      <c r="B397" s="15" t="n"/>
      <c r="C397" s="15" t="n"/>
      <c r="D397" s="15" t="n"/>
      <c r="E397" s="15" t="n"/>
      <c r="F397" s="15" t="n"/>
      <c r="G397" s="15" t="n"/>
      <c r="H397" s="18" t="inlineStr">
        <is>
          <t>出参</t>
        </is>
      </c>
      <c r="I397" s="19" t="inlineStr">
        <is>
          <t>data</t>
        </is>
      </c>
      <c r="J397" s="19" t="inlineStr">
        <is>
          <t>items[].studyNo</t>
        </is>
      </c>
      <c r="K397" s="19" t="inlineStr">
        <is>
          <t>string</t>
        </is>
      </c>
      <c r="L397" s="18" t="inlineStr"/>
      <c r="M397" s="19" t="inlineStr">
        <is>
          <t>研究编号</t>
        </is>
      </c>
      <c r="N397" s="19" t="inlineStr">
        <is>
          <t>RA-2026-0101</t>
        </is>
      </c>
      <c r="O397" s="19" t="inlineStr"/>
      <c r="P397" s="15" t="n"/>
    </row>
    <row r="398" ht="31" customHeight="1">
      <c r="A398" s="15" t="n"/>
      <c r="B398" s="15" t="n"/>
      <c r="C398" s="15" t="n"/>
      <c r="D398" s="15" t="n"/>
      <c r="E398" s="15" t="n"/>
      <c r="F398" s="15" t="n"/>
      <c r="G398" s="15" t="n"/>
      <c r="H398" s="18" t="inlineStr">
        <is>
          <t>出参</t>
        </is>
      </c>
      <c r="I398" s="19" t="inlineStr">
        <is>
          <t>data</t>
        </is>
      </c>
      <c r="J398" s="19" t="inlineStr">
        <is>
          <t>items[].name</t>
        </is>
      </c>
      <c r="K398" s="19" t="inlineStr">
        <is>
          <t>string</t>
        </is>
      </c>
      <c r="L398" s="18" t="inlineStr"/>
      <c r="M398" s="19" t="inlineStr">
        <is>
          <t>姓名（列表场景按权限返回，默认明文；导出另行脱敏）</t>
        </is>
      </c>
      <c r="N398" s="19" t="inlineStr">
        <is>
          <t>林书豪</t>
        </is>
      </c>
      <c r="O398" s="19" t="inlineStr"/>
      <c r="P398" s="15" t="n"/>
    </row>
    <row r="399" ht="17.5" customHeight="1">
      <c r="A399" s="15" t="n"/>
      <c r="B399" s="15" t="n"/>
      <c r="C399" s="15" t="n"/>
      <c r="D399" s="15" t="n"/>
      <c r="E399" s="15" t="n"/>
      <c r="F399" s="15" t="n"/>
      <c r="G399" s="15" t="n"/>
      <c r="H399" s="18" t="inlineStr">
        <is>
          <t>出参</t>
        </is>
      </c>
      <c r="I399" s="19" t="inlineStr">
        <is>
          <t>data</t>
        </is>
      </c>
      <c r="J399" s="19" t="inlineStr">
        <is>
          <t>items[].sex</t>
        </is>
      </c>
      <c r="K399" s="19" t="inlineStr">
        <is>
          <t>enum</t>
        </is>
      </c>
      <c r="L399" s="18" t="inlineStr"/>
      <c r="M399" s="19" t="inlineStr">
        <is>
          <t>性别：M 男 / F 女</t>
        </is>
      </c>
      <c r="N399" s="19" t="inlineStr">
        <is>
          <t>M</t>
        </is>
      </c>
      <c r="O399" s="19" t="inlineStr"/>
      <c r="P399" s="15" t="n"/>
    </row>
    <row r="400" ht="17.5" customHeight="1">
      <c r="A400" s="15" t="n"/>
      <c r="B400" s="15" t="n"/>
      <c r="C400" s="15" t="n"/>
      <c r="D400" s="15" t="n"/>
      <c r="E400" s="15" t="n"/>
      <c r="F400" s="15" t="n"/>
      <c r="G400" s="15" t="n"/>
      <c r="H400" s="18" t="inlineStr">
        <is>
          <t>出参</t>
        </is>
      </c>
      <c r="I400" s="19" t="inlineStr">
        <is>
          <t>data</t>
        </is>
      </c>
      <c r="J400" s="19" t="inlineStr">
        <is>
          <t>items[].birthYear</t>
        </is>
      </c>
      <c r="K400" s="19" t="inlineStr">
        <is>
          <t>integer</t>
        </is>
      </c>
      <c r="L400" s="18" t="inlineStr"/>
      <c r="M400" s="19" t="inlineStr">
        <is>
          <t>出生年份（由出生日期取年）</t>
        </is>
      </c>
      <c r="N400" s="19" t="inlineStr">
        <is>
          <t>1958</t>
        </is>
      </c>
      <c r="O400" s="19" t="inlineStr"/>
      <c r="P400" s="15" t="n"/>
    </row>
    <row r="401" ht="17.5" customHeight="1">
      <c r="A401" s="15" t="n"/>
      <c r="B401" s="15" t="n"/>
      <c r="C401" s="15" t="n"/>
      <c r="D401" s="15" t="n"/>
      <c r="E401" s="15" t="n"/>
      <c r="F401" s="15" t="n"/>
      <c r="G401" s="15" t="n"/>
      <c r="H401" s="18" t="inlineStr">
        <is>
          <t>出参</t>
        </is>
      </c>
      <c r="I401" s="19" t="inlineStr">
        <is>
          <t>data</t>
        </is>
      </c>
      <c r="J401" s="19" t="inlineStr">
        <is>
          <t>items[].visitCount</t>
        </is>
      </c>
      <c r="K401" s="19" t="inlineStr">
        <is>
          <t>integer</t>
        </is>
      </c>
      <c r="L401" s="18" t="inlineStr"/>
      <c r="M401" s="19" t="inlineStr">
        <is>
          <t>已提交的访视次数（页面「已随访 N 次」）</t>
        </is>
      </c>
      <c r="N401" s="19" t="inlineStr">
        <is>
          <t>6</t>
        </is>
      </c>
      <c r="O401" s="19" t="inlineStr"/>
      <c r="P401" s="15" t="n"/>
    </row>
    <row r="402" ht="17.5" customHeight="1">
      <c r="A402" s="15" t="n"/>
      <c r="B402" s="15" t="n"/>
      <c r="C402" s="15" t="n"/>
      <c r="D402" s="15" t="n"/>
      <c r="E402" s="15" t="n"/>
      <c r="F402" s="15" t="n"/>
      <c r="G402" s="15" t="n"/>
      <c r="H402" s="18" t="inlineStr">
        <is>
          <t>出参</t>
        </is>
      </c>
      <c r="I402" s="19" t="inlineStr">
        <is>
          <t>data</t>
        </is>
      </c>
      <c r="J402" s="19" t="inlineStr">
        <is>
          <t>items[].nextVisitNo</t>
        </is>
      </c>
      <c r="K402" s="19" t="inlineStr">
        <is>
          <t>integer</t>
        </is>
      </c>
      <c r="L402" s="18" t="inlineStr"/>
      <c r="M402" s="19" t="inlineStr">
        <is>
          <t>计划的是第几次随访（= visitCount + 1）</t>
        </is>
      </c>
      <c r="N402" s="19" t="inlineStr">
        <is>
          <t>7</t>
        </is>
      </c>
      <c r="O402" s="19" t="inlineStr"/>
      <c r="P402" s="15" t="n"/>
    </row>
    <row r="403" ht="17.5" customHeight="1">
      <c r="A403" s="15" t="n"/>
      <c r="B403" s="15" t="n"/>
      <c r="C403" s="15" t="n"/>
      <c r="D403" s="15" t="n"/>
      <c r="E403" s="15" t="n"/>
      <c r="F403" s="15" t="n"/>
      <c r="G403" s="15" t="n"/>
      <c r="H403" s="18" t="inlineStr">
        <is>
          <t>出参</t>
        </is>
      </c>
      <c r="I403" s="19" t="inlineStr">
        <is>
          <t>data</t>
        </is>
      </c>
      <c r="J403" s="19" t="inlineStr">
        <is>
          <t>items[].cycle</t>
        </is>
      </c>
      <c r="K403" s="19" t="inlineStr">
        <is>
          <t>integer</t>
        </is>
      </c>
      <c r="L403" s="18" t="inlineStr"/>
      <c r="M403" s="19" t="inlineStr">
        <is>
          <t>随访周期（月）</t>
        </is>
      </c>
      <c r="N403" s="19" t="inlineStr">
        <is>
          <t>6</t>
        </is>
      </c>
      <c r="O403" s="19" t="inlineStr"/>
      <c r="P403" s="15" t="n"/>
    </row>
    <row r="404" ht="17.5" customHeight="1">
      <c r="A404" s="15" t="n"/>
      <c r="B404" s="15" t="n"/>
      <c r="C404" s="15" t="n"/>
      <c r="D404" s="15" t="n"/>
      <c r="E404" s="15" t="n"/>
      <c r="F404" s="15" t="n"/>
      <c r="G404" s="15" t="n"/>
      <c r="H404" s="18" t="inlineStr">
        <is>
          <t>出参</t>
        </is>
      </c>
      <c r="I404" s="19" t="inlineStr">
        <is>
          <t>data</t>
        </is>
      </c>
      <c r="J404" s="19" t="inlineStr">
        <is>
          <t>items[].dueDate</t>
        </is>
      </c>
      <c r="K404" s="19" t="inlineStr">
        <is>
          <t>date</t>
        </is>
      </c>
      <c r="L404" s="18" t="inlineStr"/>
      <c r="M404" s="19" t="inlineStr">
        <is>
          <t>预计日期</t>
        </is>
      </c>
      <c r="N404" s="19" t="inlineStr">
        <is>
          <t>2026-10-08</t>
        </is>
      </c>
      <c r="O404" s="19" t="inlineStr"/>
      <c r="P404" s="15" t="n"/>
    </row>
    <row r="405" ht="31" customHeight="1">
      <c r="A405" s="15" t="n"/>
      <c r="B405" s="15" t="n"/>
      <c r="C405" s="15" t="n"/>
      <c r="D405" s="15" t="n"/>
      <c r="E405" s="15" t="n"/>
      <c r="F405" s="15" t="n"/>
      <c r="G405" s="15" t="n"/>
      <c r="H405" s="18" t="inlineStr">
        <is>
          <t>出参</t>
        </is>
      </c>
      <c r="I405" s="19" t="inlineStr">
        <is>
          <t>data</t>
        </is>
      </c>
      <c r="J405" s="19" t="inlineStr">
        <is>
          <t>items[].days</t>
        </is>
      </c>
      <c r="K405" s="19" t="inlineStr">
        <is>
          <t>integer</t>
        </is>
      </c>
      <c r="L405" s="18" t="inlineStr"/>
      <c r="M405" s="19" t="inlineStr">
        <is>
          <t>距今天数，负数=已逾期；前端显示「已逾期 N 天 / 今天 / N 天后」</t>
        </is>
      </c>
      <c r="N405" s="19" t="inlineStr">
        <is>
          <t>8</t>
        </is>
      </c>
      <c r="O405" s="19" t="inlineStr"/>
      <c r="P405" s="15" t="n"/>
    </row>
    <row r="406" ht="17.5" customHeight="1">
      <c r="A406" s="15" t="n"/>
      <c r="B406" s="15" t="n"/>
      <c r="C406" s="15" t="n"/>
      <c r="D406" s="15" t="n"/>
      <c r="E406" s="15" t="n"/>
      <c r="F406" s="15" t="n"/>
      <c r="G406" s="15" t="n"/>
      <c r="H406" s="18" t="inlineStr">
        <is>
          <t>出参</t>
        </is>
      </c>
      <c r="I406" s="19" t="inlineStr">
        <is>
          <t>data</t>
        </is>
      </c>
      <c r="J406" s="19" t="inlineStr">
        <is>
          <t>items[].status</t>
        </is>
      </c>
      <c r="K406" s="19" t="inlineStr">
        <is>
          <t>enum</t>
        </is>
      </c>
      <c r="L406" s="18" t="inlineStr"/>
      <c r="M406" s="19" t="inlineStr">
        <is>
          <t>overdue / soon / later</t>
        </is>
      </c>
      <c r="N406" s="19" t="inlineStr">
        <is>
          <t>soon</t>
        </is>
      </c>
      <c r="O406" s="19" t="inlineStr"/>
      <c r="P406" s="15" t="n"/>
    </row>
    <row r="407" ht="17.5" customHeight="1">
      <c r="A407" s="15" t="n"/>
      <c r="B407" s="15" t="n"/>
      <c r="C407" s="15" t="n"/>
      <c r="D407" s="15" t="n"/>
      <c r="E407" s="15" t="n"/>
      <c r="F407" s="15" t="n"/>
      <c r="G407" s="15" t="n"/>
      <c r="H407" s="18" t="inlineStr">
        <is>
          <t>出参</t>
        </is>
      </c>
      <c r="I407" s="19" t="inlineStr">
        <is>
          <t>data</t>
        </is>
      </c>
      <c r="J407" s="19" t="inlineStr">
        <is>
          <t>total</t>
        </is>
      </c>
      <c r="K407" s="19" t="inlineStr">
        <is>
          <t>integer</t>
        </is>
      </c>
      <c r="L407" s="18" t="inlineStr"/>
      <c r="M407" s="19" t="inlineStr">
        <is>
          <t>符合条件的总条数（用于「共 N 条」与分页）</t>
        </is>
      </c>
      <c r="N407" s="19" t="inlineStr">
        <is>
          <t>56</t>
        </is>
      </c>
      <c r="O407" s="19" t="inlineStr"/>
      <c r="P407" s="15" t="n"/>
    </row>
    <row r="408" ht="17.5" customHeight="1">
      <c r="A408" s="15" t="n"/>
      <c r="B408" s="15" t="n"/>
      <c r="C408" s="15" t="n"/>
      <c r="D408" s="15" t="n"/>
      <c r="E408" s="15" t="n"/>
      <c r="F408" s="15" t="n"/>
      <c r="G408" s="15" t="n"/>
      <c r="H408" s="18" t="inlineStr">
        <is>
          <t>出参</t>
        </is>
      </c>
      <c r="I408" s="19" t="inlineStr">
        <is>
          <t>data</t>
        </is>
      </c>
      <c r="J408" s="19" t="inlineStr">
        <is>
          <t>page</t>
        </is>
      </c>
      <c r="K408" s="19" t="inlineStr">
        <is>
          <t>integer</t>
        </is>
      </c>
      <c r="L408" s="18" t="inlineStr"/>
      <c r="M408" s="19" t="inlineStr">
        <is>
          <t>当前页码</t>
        </is>
      </c>
      <c r="N408" s="19" t="inlineStr">
        <is>
          <t>1</t>
        </is>
      </c>
      <c r="O408" s="19" t="inlineStr"/>
      <c r="P408" s="15" t="n"/>
    </row>
    <row r="409" ht="17.5" customHeight="1">
      <c r="A409" s="15" t="n"/>
      <c r="B409" s="15" t="n"/>
      <c r="C409" s="15" t="n"/>
      <c r="D409" s="15" t="n"/>
      <c r="E409" s="15" t="n"/>
      <c r="F409" s="15" t="n"/>
      <c r="G409" s="15" t="n"/>
      <c r="H409" s="18" t="inlineStr">
        <is>
          <t>出参</t>
        </is>
      </c>
      <c r="I409" s="19" t="inlineStr">
        <is>
          <t>data</t>
        </is>
      </c>
      <c r="J409" s="19" t="inlineStr">
        <is>
          <t>size</t>
        </is>
      </c>
      <c r="K409" s="19" t="inlineStr">
        <is>
          <t>integer</t>
        </is>
      </c>
      <c r="L409" s="18" t="inlineStr"/>
      <c r="M409" s="19" t="inlineStr">
        <is>
          <t>每页条数</t>
        </is>
      </c>
      <c r="N409" s="19" t="inlineStr">
        <is>
          <t>8</t>
        </is>
      </c>
      <c r="O409" s="19" t="inlineStr"/>
      <c r="P409" s="15" t="n"/>
    </row>
    <row r="410" ht="85" customHeight="1">
      <c r="A410" s="15" t="n"/>
      <c r="B410" s="15" t="n"/>
      <c r="C410" s="15" t="n"/>
      <c r="D410" s="15" t="n"/>
      <c r="E410" s="15" t="n"/>
      <c r="F410" s="15" t="n"/>
      <c r="G410" s="15" t="n"/>
      <c r="H410" s="20" t="inlineStr">
        <is>
          <t>页面口径</t>
        </is>
      </c>
      <c r="I410" s="21" t="inlineStr">
        <is>
          <t>—</t>
        </is>
      </c>
      <c r="J410" s="21" t="inlineStr">
        <is>
          <t>nextFollowup.dueDate / days / status</t>
        </is>
      </c>
      <c r="K410" s="21" t="inlineStr">
        <is>
          <t>整数天</t>
        </is>
      </c>
      <c r="L410" s="20" t="inlineStr"/>
      <c r="M410" s="21" t="inlineStr">
        <is>
          <t>B-03 下次随访日期 / 距今天数 / 随访计划状态
按患者随访周期推算的下一次随访</t>
        </is>
      </c>
      <c r="N410" s="21" t="inlineStr"/>
      <c r="O410" s="21" t="inlineStr">
        <is>
          <t>条件：未脱落 且 至少有 1 次已提交访视。
dueDate = 最近一次已提交访视日期 + followCycle 个自然月（目标月没有该日时取当月最后一天）。
days = dueDate − 今天。
status：days &lt; 0 → overdue；0 ≤ days ≤ 14 → soon；days &gt; 14 → later</t>
        </is>
      </c>
      <c r="P410" s="15" t="n"/>
    </row>
    <row r="411" ht="44.5" customHeight="1">
      <c r="A411" s="15" t="n"/>
      <c r="B411" s="15" t="n"/>
      <c r="C411" s="15" t="n"/>
      <c r="D411" s="15" t="n"/>
      <c r="E411" s="15" t="n"/>
      <c r="F411" s="15" t="n"/>
      <c r="G411" s="15" t="n"/>
      <c r="H411" s="20" t="inlineStr">
        <is>
          <t>页面口径</t>
        </is>
      </c>
      <c r="I411" s="21" t="inlineStr">
        <is>
          <t>随访管理</t>
        </is>
      </c>
      <c r="J411" s="21" t="inlineStr">
        <is>
          <t>followup.onTimeRate / planCount</t>
        </is>
      </c>
      <c r="K411" s="21" t="inlineStr">
        <is>
          <t>0–1</t>
        </is>
      </c>
      <c r="L411" s="20" t="inlineStr"/>
      <c r="M411" s="21" t="inlineStr">
        <is>
          <t>D-08 按期随访率 / N 项随访计划
有随访计划的患者中未逾期的比例（与随访管理页 F-04 同一口径）</t>
        </is>
      </c>
      <c r="N411" s="21" t="inlineStr"/>
      <c r="O411" s="21" t="inlineStr">
        <is>
          <t>planCount = 满足 B-03 条件的患者数；onTimeRate = (planCount − overdue) / planCount</t>
        </is>
      </c>
      <c r="P411" s="15" t="n"/>
    </row>
    <row r="412" ht="31" customHeight="1">
      <c r="A412" s="15" t="n"/>
      <c r="B412" s="15" t="n"/>
      <c r="C412" s="15" t="n"/>
      <c r="D412" s="15" t="n"/>
      <c r="E412" s="15" t="n"/>
      <c r="F412" s="15" t="n"/>
      <c r="G412" s="15" t="n"/>
      <c r="H412" s="20" t="inlineStr">
        <is>
          <t>页面口径</t>
        </is>
      </c>
      <c r="I412" s="21" t="inlineStr">
        <is>
          <t>顶部指标</t>
        </is>
      </c>
      <c r="J412" s="21" t="inlineStr">
        <is>
          <t>kpi.planCount</t>
        </is>
      </c>
      <c r="K412" s="21" t="inlineStr">
        <is>
          <t>整数</t>
        </is>
      </c>
      <c r="L412" s="20" t="inlineStr"/>
      <c r="M412" s="21" t="inlineStr">
        <is>
          <t>F-01 计划中随访
有随访计划的患者数</t>
        </is>
      </c>
      <c r="N412" s="21" t="inlineStr"/>
      <c r="O412" s="21" t="inlineStr">
        <is>
          <t>满足 B-03 条件的患者数（未脱落且有 ≥1 次访视）；不受筛选影响</t>
        </is>
      </c>
      <c r="P412" s="15" t="n"/>
    </row>
    <row r="413" ht="17.5" customHeight="1">
      <c r="A413" s="15" t="n"/>
      <c r="B413" s="15" t="n"/>
      <c r="C413" s="15" t="n"/>
      <c r="D413" s="15" t="n"/>
      <c r="E413" s="15" t="n"/>
      <c r="F413" s="15" t="n"/>
      <c r="G413" s="15" t="n"/>
      <c r="H413" s="20" t="inlineStr">
        <is>
          <t>页面口径</t>
        </is>
      </c>
      <c r="I413" s="21" t="inlineStr">
        <is>
          <t>顶部指标</t>
        </is>
      </c>
      <c r="J413" s="21" t="inlineStr">
        <is>
          <t>kpi.overdue</t>
        </is>
      </c>
      <c r="K413" s="21" t="inlineStr">
        <is>
          <t>整数</t>
        </is>
      </c>
      <c r="L413" s="20" t="inlineStr"/>
      <c r="M413" s="21" t="inlineStr">
        <is>
          <t>F-02 已逾期</t>
        </is>
      </c>
      <c r="N413" s="21" t="inlineStr"/>
      <c r="O413" s="21" t="inlineStr">
        <is>
          <t>B-03 status = overdue</t>
        </is>
      </c>
      <c r="P413" s="15" t="n"/>
    </row>
    <row r="414" ht="17.5" customHeight="1">
      <c r="A414" s="15" t="n"/>
      <c r="B414" s="15" t="n"/>
      <c r="C414" s="15" t="n"/>
      <c r="D414" s="15" t="n"/>
      <c r="E414" s="15" t="n"/>
      <c r="F414" s="15" t="n"/>
      <c r="G414" s="15" t="n"/>
      <c r="H414" s="20" t="inlineStr">
        <is>
          <t>页面口径</t>
        </is>
      </c>
      <c r="I414" s="21" t="inlineStr">
        <is>
          <t>顶部指标</t>
        </is>
      </c>
      <c r="J414" s="21" t="inlineStr">
        <is>
          <t>kpi.soon</t>
        </is>
      </c>
      <c r="K414" s="21" t="inlineStr">
        <is>
          <t>整数</t>
        </is>
      </c>
      <c r="L414" s="20" t="inlineStr"/>
      <c r="M414" s="21" t="inlineStr">
        <is>
          <t>F-03 未来 14 天到期</t>
        </is>
      </c>
      <c r="N414" s="21" t="inlineStr"/>
      <c r="O414" s="21" t="inlineStr">
        <is>
          <t>B-03 status = soon（0 ≤ days ≤ 14）</t>
        </is>
      </c>
      <c r="P414" s="15" t="n"/>
    </row>
    <row r="415" ht="44.5" customHeight="1">
      <c r="A415" s="15" t="n"/>
      <c r="B415" s="15" t="n"/>
      <c r="C415" s="15" t="n"/>
      <c r="D415" s="15" t="n"/>
      <c r="E415" s="15" t="n"/>
      <c r="F415" s="15" t="n"/>
      <c r="G415" s="15" t="n"/>
      <c r="H415" s="20" t="inlineStr">
        <is>
          <t>页面口径</t>
        </is>
      </c>
      <c r="I415" s="21" t="inlineStr">
        <is>
          <t>顶部指标</t>
        </is>
      </c>
      <c r="J415" s="21" t="inlineStr">
        <is>
          <t>kpi.onTimeRate</t>
        </is>
      </c>
      <c r="K415" s="21" t="inlineStr">
        <is>
          <t>0–1，页面整数百分比</t>
        </is>
      </c>
      <c r="L415" s="20" t="inlineStr"/>
      <c r="M415" s="21" t="inlineStr">
        <is>
          <t>F-04 按期随访率
同 D-08</t>
        </is>
      </c>
      <c r="N415" s="21" t="inlineStr"/>
      <c r="O415" s="21" t="inlineStr">
        <is>
          <t>(planCount − overdue) / planCount。注意：现前端用「未脱落患者数」作分母，与看板不一致，以本口径统一</t>
        </is>
      </c>
      <c r="P415" s="15" t="n"/>
    </row>
    <row r="416" ht="17.5" customHeight="1">
      <c r="A416" s="15" t="n"/>
      <c r="B416" s="15" t="n"/>
      <c r="C416" s="15" t="n"/>
      <c r="D416" s="15" t="n"/>
      <c r="E416" s="15" t="n"/>
      <c r="F416" s="15" t="n"/>
      <c r="G416" s="15" t="n"/>
      <c r="H416" s="20" t="inlineStr">
        <is>
          <t>页面口径</t>
        </is>
      </c>
      <c r="I416" s="21" t="inlineStr">
        <is>
          <t>列表</t>
        </is>
      </c>
      <c r="J416" s="21" t="inlineStr">
        <is>
          <t>nextVisitNo / dueDate / days</t>
        </is>
      </c>
      <c r="K416" s="21" t="inlineStr">
        <is>
          <t>—</t>
        </is>
      </c>
      <c r="L416" s="20" t="inlineStr"/>
      <c r="M416" s="21" t="inlineStr">
        <is>
          <t>F-05 第 N 次随访 / 预计日期 / 已逾期 N 天</t>
        </is>
      </c>
      <c r="N416" s="21" t="inlineStr"/>
      <c r="O416" s="21" t="inlineStr">
        <is>
          <t>nextVisitNo = visitCount + 1；其余见 B-03</t>
        </is>
      </c>
      <c r="P416" s="15" t="n"/>
    </row>
    <row r="417" ht="17.5" customHeight="1">
      <c r="A417" s="8" t="inlineStr">
        <is>
          <t>数据质控</t>
        </is>
      </c>
      <c r="B417" s="8" t="inlineStr">
        <is>
          <t>data-quality.html</t>
        </is>
      </c>
      <c r="C417" s="8" t="inlineStr">
        <is>
          <t>顶部 4 项指标 + 质控问题列表 + 检索筛选分页</t>
        </is>
      </c>
      <c r="D417" s="9" t="inlineStr">
        <is>
          <t>Q01</t>
        </is>
      </c>
      <c r="E417" s="10" t="inlineStr">
        <is>
          <t>质控问题列表（含顶部指标）</t>
        </is>
      </c>
      <c r="F417" s="11" t="inlineStr">
        <is>
          <t>GET</t>
        </is>
      </c>
      <c r="G417" s="12" t="inlineStr">
        <is>
          <t>/api/v1/qc/issues</t>
        </is>
      </c>
      <c r="H417" s="13" t="inlineStr">
        <is>
          <t>入参</t>
        </is>
      </c>
      <c r="I417" s="14" t="inlineStr">
        <is>
          <t>query</t>
        </is>
      </c>
      <c r="J417" s="14" t="inlineStr">
        <is>
          <t>studyId</t>
        </is>
      </c>
      <c r="K417" s="14" t="inlineStr">
        <is>
          <t>string</t>
        </is>
      </c>
      <c r="L417" s="13" t="inlineStr">
        <is>
          <t>是</t>
        </is>
      </c>
      <c r="M417" s="14" t="inlineStr">
        <is>
          <t>研究库编码；一期固定 RA</t>
        </is>
      </c>
      <c r="N417" s="14" t="inlineStr">
        <is>
          <t>RA</t>
        </is>
      </c>
      <c r="O417" s="14" t="inlineStr"/>
      <c r="P417" s="8" t="inlineStr">
        <is>
          <t>默认排序：state（待处理在前）→ createdAt 倒序。
点击行跳转：target=visit → visit-detail.html?id=&amp;visit=&amp;from=quality&amp;entry=direct#section-{模块序号}；target=patient → patient-visits.html#锚点。模块编码与锚点对应：HIS=0 LAB=1 ASM=2 TCM=3 TRT=4 AE=5 CASE=6。</t>
        </is>
      </c>
    </row>
    <row r="418" ht="17.5" customHeight="1">
      <c r="A418" s="15" t="n"/>
      <c r="B418" s="15" t="n"/>
      <c r="C418" s="15" t="n"/>
      <c r="D418" s="15" t="n"/>
      <c r="E418" s="15" t="n"/>
      <c r="F418" s="15" t="n"/>
      <c r="G418" s="15" t="n"/>
      <c r="H418" s="16" t="inlineStr">
        <is>
          <t>入参</t>
        </is>
      </c>
      <c r="I418" s="17" t="inlineStr">
        <is>
          <t>query</t>
        </is>
      </c>
      <c r="J418" s="17" t="inlineStr">
        <is>
          <t>keyword</t>
        </is>
      </c>
      <c r="K418" s="17" t="inlineStr">
        <is>
          <t>string</t>
        </is>
      </c>
      <c r="L418" s="16" t="inlineStr">
        <is>
          <t>否</t>
        </is>
      </c>
      <c r="M418" s="17" t="inlineStr">
        <is>
          <t>姓名 / ID号 / 研究编号</t>
        </is>
      </c>
      <c r="N418" s="17" t="inlineStr">
        <is>
          <t>林</t>
        </is>
      </c>
      <c r="O418" s="17" t="inlineStr"/>
      <c r="P418" s="15" t="n"/>
    </row>
    <row r="419" ht="31" customHeight="1">
      <c r="A419" s="15" t="n"/>
      <c r="B419" s="15" t="n"/>
      <c r="C419" s="15" t="n"/>
      <c r="D419" s="15" t="n"/>
      <c r="E419" s="15" t="n"/>
      <c r="F419" s="15" t="n"/>
      <c r="G419" s="15" t="n"/>
      <c r="H419" s="16" t="inlineStr">
        <is>
          <t>入参</t>
        </is>
      </c>
      <c r="I419" s="17" t="inlineStr">
        <is>
          <t>query</t>
        </is>
      </c>
      <c r="J419" s="17" t="inlineStr">
        <is>
          <t>type</t>
        </is>
      </c>
      <c r="K419" s="17" t="inlineStr">
        <is>
          <t>enum</t>
        </is>
      </c>
      <c r="L419" s="16" t="inlineStr">
        <is>
          <t>否</t>
        </is>
      </c>
      <c r="M419" s="17" t="inlineStr">
        <is>
          <t>missing 缺失 / outlier 异常值 / logic 逻辑冲突 / followup_missing 随访缺失</t>
        </is>
      </c>
      <c r="N419" s="17" t="inlineStr">
        <is>
          <t>missing</t>
        </is>
      </c>
      <c r="O419" s="17" t="inlineStr"/>
      <c r="P419" s="15" t="n"/>
    </row>
    <row r="420" ht="31" customHeight="1">
      <c r="A420" s="15" t="n"/>
      <c r="B420" s="15" t="n"/>
      <c r="C420" s="15" t="n"/>
      <c r="D420" s="15" t="n"/>
      <c r="E420" s="15" t="n"/>
      <c r="F420" s="15" t="n"/>
      <c r="G420" s="15" t="n"/>
      <c r="H420" s="16" t="inlineStr">
        <is>
          <t>入参</t>
        </is>
      </c>
      <c r="I420" s="17" t="inlineStr">
        <is>
          <t>query</t>
        </is>
      </c>
      <c r="J420" s="17" t="inlineStr">
        <is>
          <t>state</t>
        </is>
      </c>
      <c r="K420" s="17" t="inlineStr">
        <is>
          <t>enum</t>
        </is>
      </c>
      <c r="L420" s="16" t="inlineStr">
        <is>
          <t>否</t>
        </is>
      </c>
      <c r="M420" s="17" t="inlineStr">
        <is>
          <t>open 待处理 / pending_confirm 待确认 / resolved 已处理</t>
        </is>
      </c>
      <c r="N420" s="17" t="inlineStr">
        <is>
          <t>open</t>
        </is>
      </c>
      <c r="O420" s="17" t="inlineStr"/>
      <c r="P420" s="15" t="n"/>
    </row>
    <row r="421" ht="17.5" customHeight="1">
      <c r="A421" s="15" t="n"/>
      <c r="B421" s="15" t="n"/>
      <c r="C421" s="15" t="n"/>
      <c r="D421" s="15" t="n"/>
      <c r="E421" s="15" t="n"/>
      <c r="F421" s="15" t="n"/>
      <c r="G421" s="15" t="n"/>
      <c r="H421" s="16" t="inlineStr">
        <is>
          <t>入参</t>
        </is>
      </c>
      <c r="I421" s="17" t="inlineStr">
        <is>
          <t>query</t>
        </is>
      </c>
      <c r="J421" s="17" t="inlineStr">
        <is>
          <t>patientId</t>
        </is>
      </c>
      <c r="K421" s="17" t="inlineStr">
        <is>
          <t>string</t>
        </is>
      </c>
      <c r="L421" s="16" t="inlineStr">
        <is>
          <t>否</t>
        </is>
      </c>
      <c r="M421" s="17" t="inlineStr">
        <is>
          <t>只看某位患者</t>
        </is>
      </c>
      <c r="N421" s="17" t="inlineStr"/>
      <c r="O421" s="17" t="inlineStr"/>
      <c r="P421" s="15" t="n"/>
    </row>
    <row r="422" ht="17.5" customHeight="1">
      <c r="A422" s="15" t="n"/>
      <c r="B422" s="15" t="n"/>
      <c r="C422" s="15" t="n"/>
      <c r="D422" s="15" t="n"/>
      <c r="E422" s="15" t="n"/>
      <c r="F422" s="15" t="n"/>
      <c r="G422" s="15" t="n"/>
      <c r="H422" s="16" t="inlineStr">
        <is>
          <t>入参</t>
        </is>
      </c>
      <c r="I422" s="17" t="inlineStr">
        <is>
          <t>query</t>
        </is>
      </c>
      <c r="J422" s="17" t="inlineStr">
        <is>
          <t>page</t>
        </is>
      </c>
      <c r="K422" s="17" t="inlineStr">
        <is>
          <t>integer</t>
        </is>
      </c>
      <c r="L422" s="16" t="inlineStr">
        <is>
          <t>否</t>
        </is>
      </c>
      <c r="M422" s="17" t="inlineStr">
        <is>
          <t>页码，从 1 开始，默认 1</t>
        </is>
      </c>
      <c r="N422" s="17" t="inlineStr">
        <is>
          <t>1</t>
        </is>
      </c>
      <c r="O422" s="17" t="inlineStr"/>
      <c r="P422" s="15" t="n"/>
    </row>
    <row r="423" ht="31" customHeight="1">
      <c r="A423" s="15" t="n"/>
      <c r="B423" s="15" t="n"/>
      <c r="C423" s="15" t="n"/>
      <c r="D423" s="15" t="n"/>
      <c r="E423" s="15" t="n"/>
      <c r="F423" s="15" t="n"/>
      <c r="G423" s="15" t="n"/>
      <c r="H423" s="16" t="inlineStr">
        <is>
          <t>入参</t>
        </is>
      </c>
      <c r="I423" s="17" t="inlineStr">
        <is>
          <t>query</t>
        </is>
      </c>
      <c r="J423" s="17" t="inlineStr">
        <is>
          <t>size</t>
        </is>
      </c>
      <c r="K423" s="17" t="inlineStr">
        <is>
          <t>integer</t>
        </is>
      </c>
      <c r="L423" s="16" t="inlineStr">
        <is>
          <t>否</t>
        </is>
      </c>
      <c r="M423" s="17" t="inlineStr">
        <is>
          <t>每页条数，默认 20，最大 200；前端下拉 8 / 16 / 32</t>
        </is>
      </c>
      <c r="N423" s="17" t="inlineStr">
        <is>
          <t>8</t>
        </is>
      </c>
      <c r="O423" s="17" t="inlineStr"/>
      <c r="P423" s="15" t="n"/>
    </row>
    <row r="424" ht="17.5" customHeight="1">
      <c r="A424" s="15" t="n"/>
      <c r="B424" s="15" t="n"/>
      <c r="C424" s="15" t="n"/>
      <c r="D424" s="15" t="n"/>
      <c r="E424" s="15" t="n"/>
      <c r="F424" s="15" t="n"/>
      <c r="G424" s="15" t="n"/>
      <c r="H424" s="18" t="inlineStr">
        <is>
          <t>出参</t>
        </is>
      </c>
      <c r="I424" s="19" t="inlineStr">
        <is>
          <t>data</t>
        </is>
      </c>
      <c r="J424" s="19" t="inlineStr">
        <is>
          <t>kpi.qualityRate</t>
        </is>
      </c>
      <c r="K424" s="19" t="inlineStr">
        <is>
          <t>number</t>
        </is>
      </c>
      <c r="L424" s="18" t="inlineStr"/>
      <c r="M424" s="19" t="inlineStr">
        <is>
          <t>无待处理问题的患者占比，0–1，页面 1 位小数</t>
        </is>
      </c>
      <c r="N424" s="19" t="inlineStr">
        <is>
          <t>0.9260</t>
        </is>
      </c>
      <c r="O424" s="19" t="inlineStr"/>
      <c r="P424" s="15" t="n"/>
    </row>
    <row r="425" ht="17.5" customHeight="1">
      <c r="A425" s="15" t="n"/>
      <c r="B425" s="15" t="n"/>
      <c r="C425" s="15" t="n"/>
      <c r="D425" s="15" t="n"/>
      <c r="E425" s="15" t="n"/>
      <c r="F425" s="15" t="n"/>
      <c r="G425" s="15" t="n"/>
      <c r="H425" s="18" t="inlineStr">
        <is>
          <t>出参</t>
        </is>
      </c>
      <c r="I425" s="19" t="inlineStr">
        <is>
          <t>data</t>
        </is>
      </c>
      <c r="J425" s="19" t="inlineStr">
        <is>
          <t>kpi.openCount</t>
        </is>
      </c>
      <c r="K425" s="19" t="inlineStr">
        <is>
          <t>integer</t>
        </is>
      </c>
      <c r="L425" s="18" t="inlineStr"/>
      <c r="M425" s="19" t="inlineStr">
        <is>
          <t>待处理问题（open + pending_confirm）</t>
        </is>
      </c>
      <c r="N425" s="19" t="inlineStr">
        <is>
          <t>56</t>
        </is>
      </c>
      <c r="O425" s="19" t="inlineStr"/>
      <c r="P425" s="15" t="n"/>
    </row>
    <row r="426" ht="17.5" customHeight="1">
      <c r="A426" s="15" t="n"/>
      <c r="B426" s="15" t="n"/>
      <c r="C426" s="15" t="n"/>
      <c r="D426" s="15" t="n"/>
      <c r="E426" s="15" t="n"/>
      <c r="F426" s="15" t="n"/>
      <c r="G426" s="15" t="n"/>
      <c r="H426" s="18" t="inlineStr">
        <is>
          <t>出参</t>
        </is>
      </c>
      <c r="I426" s="19" t="inlineStr">
        <is>
          <t>data</t>
        </is>
      </c>
      <c r="J426" s="19" t="inlineStr">
        <is>
          <t>kpi.affectedPatients</t>
        </is>
      </c>
      <c r="K426" s="19" t="inlineStr">
        <is>
          <t>integer</t>
        </is>
      </c>
      <c r="L426" s="18" t="inlineStr"/>
      <c r="M426" s="19" t="inlineStr">
        <is>
          <t>涉及患者</t>
        </is>
      </c>
      <c r="N426" s="19" t="inlineStr">
        <is>
          <t>43</t>
        </is>
      </c>
      <c r="O426" s="19" t="inlineStr"/>
      <c r="P426" s="15" t="n"/>
    </row>
    <row r="427" ht="17.5" customHeight="1">
      <c r="A427" s="15" t="n"/>
      <c r="B427" s="15" t="n"/>
      <c r="C427" s="15" t="n"/>
      <c r="D427" s="15" t="n"/>
      <c r="E427" s="15" t="n"/>
      <c r="F427" s="15" t="n"/>
      <c r="G427" s="15" t="n"/>
      <c r="H427" s="18" t="inlineStr">
        <is>
          <t>出参</t>
        </is>
      </c>
      <c r="I427" s="19" t="inlineStr">
        <is>
          <t>data</t>
        </is>
      </c>
      <c r="J427" s="19" t="inlineStr">
        <is>
          <t>kpi.readyPatients</t>
        </is>
      </c>
      <c r="K427" s="19" t="inlineStr">
        <is>
          <t>integer</t>
        </is>
      </c>
      <c r="L427" s="18" t="inlineStr"/>
      <c r="M427" s="19" t="inlineStr">
        <is>
          <t>满足研究级质量要求的患者</t>
        </is>
      </c>
      <c r="N427" s="19" t="inlineStr">
        <is>
          <t>85</t>
        </is>
      </c>
      <c r="O427" s="19" t="inlineStr"/>
      <c r="P427" s="15" t="n"/>
    </row>
    <row r="428" ht="17.5" customHeight="1">
      <c r="A428" s="15" t="n"/>
      <c r="B428" s="15" t="n"/>
      <c r="C428" s="15" t="n"/>
      <c r="D428" s="15" t="n"/>
      <c r="E428" s="15" t="n"/>
      <c r="F428" s="15" t="n"/>
      <c r="G428" s="15" t="n"/>
      <c r="H428" s="18" t="inlineStr">
        <is>
          <t>出参</t>
        </is>
      </c>
      <c r="I428" s="19" t="inlineStr">
        <is>
          <t>data</t>
        </is>
      </c>
      <c r="J428" s="19" t="inlineStr">
        <is>
          <t>kpi.totalIssues</t>
        </is>
      </c>
      <c r="K428" s="19" t="inlineStr">
        <is>
          <t>integer</t>
        </is>
      </c>
      <c r="L428" s="18" t="inlineStr"/>
      <c r="M428" s="19" t="inlineStr">
        <is>
          <t>质控问题总数（页头「共发现 N 个」）</t>
        </is>
      </c>
      <c r="N428" s="19" t="inlineStr">
        <is>
          <t>92</t>
        </is>
      </c>
      <c r="O428" s="19" t="inlineStr"/>
      <c r="P428" s="15" t="n"/>
    </row>
    <row r="429" ht="17.5" customHeight="1">
      <c r="A429" s="15" t="n"/>
      <c r="B429" s="15" t="n"/>
      <c r="C429" s="15" t="n"/>
      <c r="D429" s="15" t="n"/>
      <c r="E429" s="15" t="n"/>
      <c r="F429" s="15" t="n"/>
      <c r="G429" s="15" t="n"/>
      <c r="H429" s="18" t="inlineStr">
        <is>
          <t>出参</t>
        </is>
      </c>
      <c r="I429" s="19" t="inlineStr">
        <is>
          <t>data</t>
        </is>
      </c>
      <c r="J429" s="19" t="inlineStr">
        <is>
          <t>items[].patient.patientId</t>
        </is>
      </c>
      <c r="K429" s="19" t="inlineStr">
        <is>
          <t>string</t>
        </is>
      </c>
      <c r="L429" s="18" t="inlineStr"/>
      <c r="M429" s="19" t="inlineStr">
        <is>
          <t>ID号（患者主键，系统生成，不可修改）</t>
        </is>
      </c>
      <c r="N429" s="19" t="inlineStr">
        <is>
          <t>611991</t>
        </is>
      </c>
      <c r="O429" s="19" t="inlineStr"/>
      <c r="P429" s="15" t="n"/>
    </row>
    <row r="430" ht="17.5" customHeight="1">
      <c r="A430" s="15" t="n"/>
      <c r="B430" s="15" t="n"/>
      <c r="C430" s="15" t="n"/>
      <c r="D430" s="15" t="n"/>
      <c r="E430" s="15" t="n"/>
      <c r="F430" s="15" t="n"/>
      <c r="G430" s="15" t="n"/>
      <c r="H430" s="18" t="inlineStr">
        <is>
          <t>出参</t>
        </is>
      </c>
      <c r="I430" s="19" t="inlineStr">
        <is>
          <t>data</t>
        </is>
      </c>
      <c r="J430" s="19" t="inlineStr">
        <is>
          <t>items[].patient.studyNo</t>
        </is>
      </c>
      <c r="K430" s="19" t="inlineStr">
        <is>
          <t>string</t>
        </is>
      </c>
      <c r="L430" s="18" t="inlineStr"/>
      <c r="M430" s="19" t="inlineStr">
        <is>
          <t>研究编号</t>
        </is>
      </c>
      <c r="N430" s="19" t="inlineStr">
        <is>
          <t>RA-2026-0101</t>
        </is>
      </c>
      <c r="O430" s="19" t="inlineStr"/>
      <c r="P430" s="15" t="n"/>
    </row>
    <row r="431" ht="31" customHeight="1">
      <c r="A431" s="15" t="n"/>
      <c r="B431" s="15" t="n"/>
      <c r="C431" s="15" t="n"/>
      <c r="D431" s="15" t="n"/>
      <c r="E431" s="15" t="n"/>
      <c r="F431" s="15" t="n"/>
      <c r="G431" s="15" t="n"/>
      <c r="H431" s="18" t="inlineStr">
        <is>
          <t>出参</t>
        </is>
      </c>
      <c r="I431" s="19" t="inlineStr">
        <is>
          <t>data</t>
        </is>
      </c>
      <c r="J431" s="19" t="inlineStr">
        <is>
          <t>items[].patient.name</t>
        </is>
      </c>
      <c r="K431" s="19" t="inlineStr">
        <is>
          <t>string</t>
        </is>
      </c>
      <c r="L431" s="18" t="inlineStr"/>
      <c r="M431" s="19" t="inlineStr">
        <is>
          <t>姓名（列表场景按权限返回，默认明文；导出另行脱敏）</t>
        </is>
      </c>
      <c r="N431" s="19" t="inlineStr">
        <is>
          <t>林书豪</t>
        </is>
      </c>
      <c r="O431" s="19" t="inlineStr"/>
      <c r="P431" s="15" t="n"/>
    </row>
    <row r="432" ht="17.5" customHeight="1">
      <c r="A432" s="15" t="n"/>
      <c r="B432" s="15" t="n"/>
      <c r="C432" s="15" t="n"/>
      <c r="D432" s="15" t="n"/>
      <c r="E432" s="15" t="n"/>
      <c r="F432" s="15" t="n"/>
      <c r="G432" s="15" t="n"/>
      <c r="H432" s="18" t="inlineStr">
        <is>
          <t>出参</t>
        </is>
      </c>
      <c r="I432" s="19" t="inlineStr">
        <is>
          <t>data</t>
        </is>
      </c>
      <c r="J432" s="19" t="inlineStr">
        <is>
          <t>items[].patient.sex</t>
        </is>
      </c>
      <c r="K432" s="19" t="inlineStr">
        <is>
          <t>enum</t>
        </is>
      </c>
      <c r="L432" s="18" t="inlineStr"/>
      <c r="M432" s="19" t="inlineStr">
        <is>
          <t>性别：M 男 / F 女</t>
        </is>
      </c>
      <c r="N432" s="19" t="inlineStr">
        <is>
          <t>M</t>
        </is>
      </c>
      <c r="O432" s="19" t="inlineStr"/>
      <c r="P432" s="15" t="n"/>
    </row>
    <row r="433" ht="17.5" customHeight="1">
      <c r="A433" s="15" t="n"/>
      <c r="B433" s="15" t="n"/>
      <c r="C433" s="15" t="n"/>
      <c r="D433" s="15" t="n"/>
      <c r="E433" s="15" t="n"/>
      <c r="F433" s="15" t="n"/>
      <c r="G433" s="15" t="n"/>
      <c r="H433" s="18" t="inlineStr">
        <is>
          <t>出参</t>
        </is>
      </c>
      <c r="I433" s="19" t="inlineStr">
        <is>
          <t>data</t>
        </is>
      </c>
      <c r="J433" s="19" t="inlineStr">
        <is>
          <t>items[].patient.birthYear</t>
        </is>
      </c>
      <c r="K433" s="19" t="inlineStr">
        <is>
          <t>integer</t>
        </is>
      </c>
      <c r="L433" s="18" t="inlineStr"/>
      <c r="M433" s="19" t="inlineStr">
        <is>
          <t>出生年份（由出生日期取年）</t>
        </is>
      </c>
      <c r="N433" s="19" t="inlineStr">
        <is>
          <t>1958</t>
        </is>
      </c>
      <c r="O433" s="19" t="inlineStr"/>
      <c r="P433" s="15" t="n"/>
    </row>
    <row r="434" ht="17.5" customHeight="1">
      <c r="A434" s="15" t="n"/>
      <c r="B434" s="15" t="n"/>
      <c r="C434" s="15" t="n"/>
      <c r="D434" s="15" t="n"/>
      <c r="E434" s="15" t="n"/>
      <c r="F434" s="15" t="n"/>
      <c r="G434" s="15" t="n"/>
      <c r="H434" s="18" t="inlineStr">
        <is>
          <t>出参</t>
        </is>
      </c>
      <c r="I434" s="19" t="inlineStr">
        <is>
          <t>data</t>
        </is>
      </c>
      <c r="J434" s="19" t="inlineStr">
        <is>
          <t>items[].patient.visitCount</t>
        </is>
      </c>
      <c r="K434" s="19" t="inlineStr">
        <is>
          <t>integer</t>
        </is>
      </c>
      <c r="L434" s="18" t="inlineStr"/>
      <c r="M434" s="19" t="inlineStr">
        <is>
          <t>已提交的访视次数（页面「已随访 N 次」）</t>
        </is>
      </c>
      <c r="N434" s="19" t="inlineStr">
        <is>
          <t>6</t>
        </is>
      </c>
      <c r="O434" s="19" t="inlineStr"/>
      <c r="P434" s="15" t="n"/>
    </row>
    <row r="435" ht="17.5" customHeight="1">
      <c r="A435" s="15" t="n"/>
      <c r="B435" s="15" t="n"/>
      <c r="C435" s="15" t="n"/>
      <c r="D435" s="15" t="n"/>
      <c r="E435" s="15" t="n"/>
      <c r="F435" s="15" t="n"/>
      <c r="G435" s="15" t="n"/>
      <c r="H435" s="18" t="inlineStr">
        <is>
          <t>出参</t>
        </is>
      </c>
      <c r="I435" s="19" t="inlineStr">
        <is>
          <t>data</t>
        </is>
      </c>
      <c r="J435" s="19" t="inlineStr">
        <is>
          <t>items[].issueId</t>
        </is>
      </c>
      <c r="K435" s="19" t="inlineStr">
        <is>
          <t>string</t>
        </is>
      </c>
      <c r="L435" s="18" t="inlineStr"/>
      <c r="M435" s="19" t="inlineStr">
        <is>
          <t>问题 ID</t>
        </is>
      </c>
      <c r="N435" s="19" t="inlineStr">
        <is>
          <t>qc_0192</t>
        </is>
      </c>
      <c r="O435" s="19" t="inlineStr"/>
      <c r="P435" s="15" t="n"/>
    </row>
    <row r="436" ht="17.5" customHeight="1">
      <c r="A436" s="15" t="n"/>
      <c r="B436" s="15" t="n"/>
      <c r="C436" s="15" t="n"/>
      <c r="D436" s="15" t="n"/>
      <c r="E436" s="15" t="n"/>
      <c r="F436" s="15" t="n"/>
      <c r="G436" s="15" t="n"/>
      <c r="H436" s="18" t="inlineStr">
        <is>
          <t>出参</t>
        </is>
      </c>
      <c r="I436" s="19" t="inlineStr">
        <is>
          <t>data</t>
        </is>
      </c>
      <c r="J436" s="19" t="inlineStr">
        <is>
          <t>items[].ruleCode</t>
        </is>
      </c>
      <c r="K436" s="19" t="inlineStr">
        <is>
          <t>string</t>
        </is>
      </c>
      <c r="L436" s="18" t="inlineStr"/>
      <c r="M436" s="19" t="inlineStr">
        <is>
          <t>规则编码，见质控规则表</t>
        </is>
      </c>
      <c r="N436" s="19" t="inlineStr">
        <is>
          <t>QC-M01</t>
        </is>
      </c>
      <c r="O436" s="19" t="inlineStr"/>
      <c r="P436" s="15" t="n"/>
    </row>
    <row r="437" ht="17.5" customHeight="1">
      <c r="A437" s="15" t="n"/>
      <c r="B437" s="15" t="n"/>
      <c r="C437" s="15" t="n"/>
      <c r="D437" s="15" t="n"/>
      <c r="E437" s="15" t="n"/>
      <c r="F437" s="15" t="n"/>
      <c r="G437" s="15" t="n"/>
      <c r="H437" s="18" t="inlineStr">
        <is>
          <t>出参</t>
        </is>
      </c>
      <c r="I437" s="19" t="inlineStr">
        <is>
          <t>data</t>
        </is>
      </c>
      <c r="J437" s="19" t="inlineStr">
        <is>
          <t>items[].type</t>
        </is>
      </c>
      <c r="K437" s="19" t="inlineStr">
        <is>
          <t>enum</t>
        </is>
      </c>
      <c r="L437" s="18" t="inlineStr"/>
      <c r="M437" s="19" t="inlineStr">
        <is>
          <t>问题类型</t>
        </is>
      </c>
      <c r="N437" s="19" t="inlineStr">
        <is>
          <t>missing</t>
        </is>
      </c>
      <c r="O437" s="19" t="inlineStr"/>
      <c r="P437" s="15" t="n"/>
    </row>
    <row r="438" ht="17.5" customHeight="1">
      <c r="A438" s="15" t="n"/>
      <c r="B438" s="15" t="n"/>
      <c r="C438" s="15" t="n"/>
      <c r="D438" s="15" t="n"/>
      <c r="E438" s="15" t="n"/>
      <c r="F438" s="15" t="n"/>
      <c r="G438" s="15" t="n"/>
      <c r="H438" s="18" t="inlineStr">
        <is>
          <t>出参</t>
        </is>
      </c>
      <c r="I438" s="19" t="inlineStr">
        <is>
          <t>data</t>
        </is>
      </c>
      <c r="J438" s="19" t="inlineStr">
        <is>
          <t>items[].typeLabel</t>
        </is>
      </c>
      <c r="K438" s="19" t="inlineStr">
        <is>
          <t>string</t>
        </is>
      </c>
      <c r="L438" s="18" t="inlineStr"/>
      <c r="M438" s="19" t="inlineStr">
        <is>
          <t>中文</t>
        </is>
      </c>
      <c r="N438" s="19" t="inlineStr">
        <is>
          <t>缺失</t>
        </is>
      </c>
      <c r="O438" s="19" t="inlineStr"/>
      <c r="P438" s="15" t="n"/>
    </row>
    <row r="439" ht="31" customHeight="1">
      <c r="A439" s="15" t="n"/>
      <c r="B439" s="15" t="n"/>
      <c r="C439" s="15" t="n"/>
      <c r="D439" s="15" t="n"/>
      <c r="E439" s="15" t="n"/>
      <c r="F439" s="15" t="n"/>
      <c r="G439" s="15" t="n"/>
      <c r="H439" s="18" t="inlineStr">
        <is>
          <t>出参</t>
        </is>
      </c>
      <c r="I439" s="19" t="inlineStr">
        <is>
          <t>data</t>
        </is>
      </c>
      <c r="J439" s="19" t="inlineStr">
        <is>
          <t>items[].text</t>
        </is>
      </c>
      <c r="K439" s="19" t="inlineStr">
        <is>
          <t>string</t>
        </is>
      </c>
      <c r="L439" s="18" t="inlineStr"/>
      <c r="M439" s="19" t="inlineStr">
        <is>
          <t>问题描述，服务端按规则模板生成</t>
        </is>
      </c>
      <c r="N439" s="19" t="inlineStr">
        <is>
          <t>基线 DAS28 缺少 TJC28 / SJC28 组成项</t>
        </is>
      </c>
      <c r="O439" s="19" t="inlineStr"/>
      <c r="P439" s="15" t="n"/>
    </row>
    <row r="440" ht="17.5" customHeight="1">
      <c r="A440" s="15" t="n"/>
      <c r="B440" s="15" t="n"/>
      <c r="C440" s="15" t="n"/>
      <c r="D440" s="15" t="n"/>
      <c r="E440" s="15" t="n"/>
      <c r="F440" s="15" t="n"/>
      <c r="G440" s="15" t="n"/>
      <c r="H440" s="18" t="inlineStr">
        <is>
          <t>出参</t>
        </is>
      </c>
      <c r="I440" s="19" t="inlineStr">
        <is>
          <t>data</t>
        </is>
      </c>
      <c r="J440" s="19" t="inlineStr">
        <is>
          <t>items[].state</t>
        </is>
      </c>
      <c r="K440" s="19" t="inlineStr">
        <is>
          <t>enum</t>
        </is>
      </c>
      <c r="L440" s="18" t="inlineStr"/>
      <c r="M440" s="19" t="inlineStr">
        <is>
          <t>处理状态</t>
        </is>
      </c>
      <c r="N440" s="19" t="inlineStr">
        <is>
          <t>open</t>
        </is>
      </c>
      <c r="O440" s="19" t="inlineStr"/>
      <c r="P440" s="15" t="n"/>
    </row>
    <row r="441" ht="17.5" customHeight="1">
      <c r="A441" s="15" t="n"/>
      <c r="B441" s="15" t="n"/>
      <c r="C441" s="15" t="n"/>
      <c r="D441" s="15" t="n"/>
      <c r="E441" s="15" t="n"/>
      <c r="F441" s="15" t="n"/>
      <c r="G441" s="15" t="n"/>
      <c r="H441" s="18" t="inlineStr">
        <is>
          <t>出参</t>
        </is>
      </c>
      <c r="I441" s="19" t="inlineStr">
        <is>
          <t>data</t>
        </is>
      </c>
      <c r="J441" s="19" t="inlineStr">
        <is>
          <t>items[].stateLabel</t>
        </is>
      </c>
      <c r="K441" s="19" t="inlineStr">
        <is>
          <t>string</t>
        </is>
      </c>
      <c r="L441" s="18" t="inlineStr"/>
      <c r="M441" s="19" t="inlineStr">
        <is>
          <t>中文</t>
        </is>
      </c>
      <c r="N441" s="19" t="inlineStr">
        <is>
          <t>待处理</t>
        </is>
      </c>
      <c r="O441" s="19" t="inlineStr"/>
      <c r="P441" s="15" t="n"/>
    </row>
    <row r="442" ht="17.5" customHeight="1">
      <c r="A442" s="15" t="n"/>
      <c r="B442" s="15" t="n"/>
      <c r="C442" s="15" t="n"/>
      <c r="D442" s="15" t="n"/>
      <c r="E442" s="15" t="n"/>
      <c r="F442" s="15" t="n"/>
      <c r="G442" s="15" t="n"/>
      <c r="H442" s="18" t="inlineStr">
        <is>
          <t>出参</t>
        </is>
      </c>
      <c r="I442" s="19" t="inlineStr">
        <is>
          <t>data</t>
        </is>
      </c>
      <c r="J442" s="19" t="inlineStr">
        <is>
          <t>items[].locate.target</t>
        </is>
      </c>
      <c r="K442" s="19" t="inlineStr">
        <is>
          <t>enum</t>
        </is>
      </c>
      <c r="L442" s="18" t="inlineStr"/>
      <c r="M442" s="19" t="inlineStr">
        <is>
          <t>visit 访视详情 / patient 患者详情</t>
        </is>
      </c>
      <c r="N442" s="19" t="inlineStr">
        <is>
          <t>visit</t>
        </is>
      </c>
      <c r="O442" s="19" t="inlineStr"/>
      <c r="P442" s="15" t="n"/>
    </row>
    <row r="443" ht="17.5" customHeight="1">
      <c r="A443" s="15" t="n"/>
      <c r="B443" s="15" t="n"/>
      <c r="C443" s="15" t="n"/>
      <c r="D443" s="15" t="n"/>
      <c r="E443" s="15" t="n"/>
      <c r="F443" s="15" t="n"/>
      <c r="G443" s="15" t="n"/>
      <c r="H443" s="18" t="inlineStr">
        <is>
          <t>出参</t>
        </is>
      </c>
      <c r="I443" s="19" t="inlineStr">
        <is>
          <t>data</t>
        </is>
      </c>
      <c r="J443" s="19" t="inlineStr">
        <is>
          <t>items[].locate.visitId</t>
        </is>
      </c>
      <c r="K443" s="19" t="inlineStr">
        <is>
          <t>string</t>
        </is>
      </c>
      <c r="L443" s="18" t="inlineStr"/>
      <c r="M443" s="19" t="inlineStr">
        <is>
          <t>target=visit 时</t>
        </is>
      </c>
      <c r="N443" s="19" t="inlineStr">
        <is>
          <t>v_20260101_001</t>
        </is>
      </c>
      <c r="O443" s="19" t="inlineStr"/>
      <c r="P443" s="15" t="n"/>
    </row>
    <row r="444" ht="17.5" customHeight="1">
      <c r="A444" s="15" t="n"/>
      <c r="B444" s="15" t="n"/>
      <c r="C444" s="15" t="n"/>
      <c r="D444" s="15" t="n"/>
      <c r="E444" s="15" t="n"/>
      <c r="F444" s="15" t="n"/>
      <c r="G444" s="15" t="n"/>
      <c r="H444" s="18" t="inlineStr">
        <is>
          <t>出参</t>
        </is>
      </c>
      <c r="I444" s="19" t="inlineStr">
        <is>
          <t>data</t>
        </is>
      </c>
      <c r="J444" s="19" t="inlineStr">
        <is>
          <t>items[].locate.section</t>
        </is>
      </c>
      <c r="K444" s="19" t="inlineStr">
        <is>
          <t>string</t>
        </is>
      </c>
      <c r="L444" s="18" t="inlineStr"/>
      <c r="M444" s="19" t="inlineStr">
        <is>
          <t>模块编码（前端映射为页面锚点）</t>
        </is>
      </c>
      <c r="N444" s="19" t="inlineStr">
        <is>
          <t>ASM</t>
        </is>
      </c>
      <c r="O444" s="19" t="inlineStr"/>
      <c r="P444" s="15" t="n"/>
    </row>
    <row r="445" ht="17.5" customHeight="1">
      <c r="A445" s="15" t="n"/>
      <c r="B445" s="15" t="n"/>
      <c r="C445" s="15" t="n"/>
      <c r="D445" s="15" t="n"/>
      <c r="E445" s="15" t="n"/>
      <c r="F445" s="15" t="n"/>
      <c r="G445" s="15" t="n"/>
      <c r="H445" s="18" t="inlineStr">
        <is>
          <t>出参</t>
        </is>
      </c>
      <c r="I445" s="19" t="inlineStr">
        <is>
          <t>data</t>
        </is>
      </c>
      <c r="J445" s="19" t="inlineStr">
        <is>
          <t>items[].locate.fieldCode</t>
        </is>
      </c>
      <c r="K445" s="19" t="inlineStr">
        <is>
          <t>string</t>
        </is>
      </c>
      <c r="L445" s="18" t="inlineStr"/>
      <c r="M445" s="19" t="inlineStr">
        <is>
          <t>具体字段（有则高亮）</t>
        </is>
      </c>
      <c r="N445" s="19" t="inlineStr">
        <is>
          <t>ASM.tjc28</t>
        </is>
      </c>
      <c r="O445" s="19" t="inlineStr"/>
      <c r="P445" s="15" t="n"/>
    </row>
    <row r="446" ht="17.5" customHeight="1">
      <c r="A446" s="15" t="n"/>
      <c r="B446" s="15" t="n"/>
      <c r="C446" s="15" t="n"/>
      <c r="D446" s="15" t="n"/>
      <c r="E446" s="15" t="n"/>
      <c r="F446" s="15" t="n"/>
      <c r="G446" s="15" t="n"/>
      <c r="H446" s="18" t="inlineStr">
        <is>
          <t>出参</t>
        </is>
      </c>
      <c r="I446" s="19" t="inlineStr">
        <is>
          <t>data</t>
        </is>
      </c>
      <c r="J446" s="19" t="inlineStr">
        <is>
          <t>items[].locate.label</t>
        </is>
      </c>
      <c r="K446" s="19" t="inlineStr">
        <is>
          <t>string</t>
        </is>
      </c>
      <c r="L446" s="18" t="inlineStr"/>
      <c r="M446" s="19" t="inlineStr">
        <is>
          <t>定位说明（页面「定位到：…」）</t>
        </is>
      </c>
      <c r="N446" s="19" t="inlineStr">
        <is>
          <t>基线访视 · 病情评估</t>
        </is>
      </c>
      <c r="O446" s="19" t="inlineStr"/>
      <c r="P446" s="15" t="n"/>
    </row>
    <row r="447" ht="17.5" customHeight="1">
      <c r="A447" s="15" t="n"/>
      <c r="B447" s="15" t="n"/>
      <c r="C447" s="15" t="n"/>
      <c r="D447" s="15" t="n"/>
      <c r="E447" s="15" t="n"/>
      <c r="F447" s="15" t="n"/>
      <c r="G447" s="15" t="n"/>
      <c r="H447" s="18" t="inlineStr">
        <is>
          <t>出参</t>
        </is>
      </c>
      <c r="I447" s="19" t="inlineStr">
        <is>
          <t>data</t>
        </is>
      </c>
      <c r="J447" s="19" t="inlineStr">
        <is>
          <t>items[].createdAt</t>
        </is>
      </c>
      <c r="K447" s="19" t="inlineStr">
        <is>
          <t>datetime</t>
        </is>
      </c>
      <c r="L447" s="18" t="inlineStr"/>
      <c r="M447" s="19" t="inlineStr">
        <is>
          <t>发现时间</t>
        </is>
      </c>
      <c r="N447" s="19" t="inlineStr">
        <is>
          <t>2026-01-05T15:40:00+08:00</t>
        </is>
      </c>
      <c r="O447" s="19" t="inlineStr"/>
      <c r="P447" s="15" t="n"/>
    </row>
    <row r="448" ht="31" customHeight="1">
      <c r="A448" s="15" t="n"/>
      <c r="B448" s="15" t="n"/>
      <c r="C448" s="15" t="n"/>
      <c r="D448" s="15" t="n"/>
      <c r="E448" s="15" t="n"/>
      <c r="F448" s="15" t="n"/>
      <c r="G448" s="15" t="n"/>
      <c r="H448" s="18" t="inlineStr">
        <is>
          <t>出参</t>
        </is>
      </c>
      <c r="I448" s="19" t="inlineStr">
        <is>
          <t>data</t>
        </is>
      </c>
      <c r="J448" s="19" t="inlineStr">
        <is>
          <t>items[].resolvedBy / resolvedAt / note</t>
        </is>
      </c>
      <c r="K448" s="19" t="inlineStr">
        <is>
          <t>—</t>
        </is>
      </c>
      <c r="L448" s="18" t="inlineStr"/>
      <c r="M448" s="19" t="inlineStr">
        <is>
          <t>已处理时返回</t>
        </is>
      </c>
      <c r="N448" s="19" t="inlineStr"/>
      <c r="O448" s="19" t="inlineStr"/>
      <c r="P448" s="15" t="n"/>
    </row>
    <row r="449" ht="17.5" customHeight="1">
      <c r="A449" s="15" t="n"/>
      <c r="B449" s="15" t="n"/>
      <c r="C449" s="15" t="n"/>
      <c r="D449" s="15" t="n"/>
      <c r="E449" s="15" t="n"/>
      <c r="F449" s="15" t="n"/>
      <c r="G449" s="15" t="n"/>
      <c r="H449" s="18" t="inlineStr">
        <is>
          <t>出参</t>
        </is>
      </c>
      <c r="I449" s="19" t="inlineStr">
        <is>
          <t>data</t>
        </is>
      </c>
      <c r="J449" s="19" t="inlineStr">
        <is>
          <t>total</t>
        </is>
      </c>
      <c r="K449" s="19" t="inlineStr">
        <is>
          <t>integer</t>
        </is>
      </c>
      <c r="L449" s="18" t="inlineStr"/>
      <c r="M449" s="19" t="inlineStr">
        <is>
          <t>符合条件的总条数（用于「共 N 条」与分页）</t>
        </is>
      </c>
      <c r="N449" s="19" t="inlineStr">
        <is>
          <t>56</t>
        </is>
      </c>
      <c r="O449" s="19" t="inlineStr"/>
      <c r="P449" s="15" t="n"/>
    </row>
    <row r="450" ht="17.5" customHeight="1">
      <c r="A450" s="15" t="n"/>
      <c r="B450" s="15" t="n"/>
      <c r="C450" s="15" t="n"/>
      <c r="D450" s="15" t="n"/>
      <c r="E450" s="15" t="n"/>
      <c r="F450" s="15" t="n"/>
      <c r="G450" s="15" t="n"/>
      <c r="H450" s="18" t="inlineStr">
        <is>
          <t>出参</t>
        </is>
      </c>
      <c r="I450" s="19" t="inlineStr">
        <is>
          <t>data</t>
        </is>
      </c>
      <c r="J450" s="19" t="inlineStr">
        <is>
          <t>page</t>
        </is>
      </c>
      <c r="K450" s="19" t="inlineStr">
        <is>
          <t>integer</t>
        </is>
      </c>
      <c r="L450" s="18" t="inlineStr"/>
      <c r="M450" s="19" t="inlineStr">
        <is>
          <t>当前页码</t>
        </is>
      </c>
      <c r="N450" s="19" t="inlineStr">
        <is>
          <t>1</t>
        </is>
      </c>
      <c r="O450" s="19" t="inlineStr"/>
      <c r="P450" s="15" t="n"/>
    </row>
    <row r="451" ht="17.5" customHeight="1">
      <c r="A451" s="15" t="n"/>
      <c r="B451" s="15" t="n"/>
      <c r="C451" s="15" t="n"/>
      <c r="D451" s="15" t="n"/>
      <c r="E451" s="15" t="n"/>
      <c r="F451" s="15" t="n"/>
      <c r="G451" s="15" t="n"/>
      <c r="H451" s="18" t="inlineStr">
        <is>
          <t>出参</t>
        </is>
      </c>
      <c r="I451" s="19" t="inlineStr">
        <is>
          <t>data</t>
        </is>
      </c>
      <c r="J451" s="19" t="inlineStr">
        <is>
          <t>size</t>
        </is>
      </c>
      <c r="K451" s="19" t="inlineStr">
        <is>
          <t>integer</t>
        </is>
      </c>
      <c r="L451" s="18" t="inlineStr"/>
      <c r="M451" s="19" t="inlineStr">
        <is>
          <t>每页条数</t>
        </is>
      </c>
      <c r="N451" s="19" t="inlineStr">
        <is>
          <t>8</t>
        </is>
      </c>
      <c r="O451" s="19" t="inlineStr"/>
      <c r="P451" s="15" t="n"/>
    </row>
    <row r="452" ht="31" customHeight="1">
      <c r="A452" s="15" t="n"/>
      <c r="B452" s="15" t="n"/>
      <c r="C452" s="15" t="n"/>
      <c r="D452" s="15" t="n"/>
      <c r="E452" s="15" t="n"/>
      <c r="F452" s="15" t="n"/>
      <c r="G452" s="15" t="n"/>
      <c r="H452" s="20" t="inlineStr">
        <is>
          <t>页面口径</t>
        </is>
      </c>
      <c r="I452" s="21" t="inlineStr">
        <is>
          <t>顶部指标</t>
        </is>
      </c>
      <c r="J452" s="21" t="inlineStr">
        <is>
          <t>kpi.qualityRate</t>
        </is>
      </c>
      <c r="K452" s="21" t="inlineStr">
        <is>
          <t>0–1，页面 1 位小数</t>
        </is>
      </c>
      <c r="L452" s="20" t="inlineStr"/>
      <c r="M452" s="21" t="inlineStr">
        <is>
          <t>Q-01 无待处理问题的患者占比
同 P-03</t>
        </is>
      </c>
      <c r="N452" s="21" t="inlineStr"/>
      <c r="O452" s="21" t="inlineStr">
        <is>
          <t>(患者总数 − affectedPatients) / 患者总数</t>
        </is>
      </c>
      <c r="P452" s="15" t="n"/>
    </row>
    <row r="453" ht="31" customHeight="1">
      <c r="A453" s="15" t="n"/>
      <c r="B453" s="15" t="n"/>
      <c r="C453" s="15" t="n"/>
      <c r="D453" s="15" t="n"/>
      <c r="E453" s="15" t="n"/>
      <c r="F453" s="15" t="n"/>
      <c r="G453" s="15" t="n"/>
      <c r="H453" s="20" t="inlineStr">
        <is>
          <t>页面口径</t>
        </is>
      </c>
      <c r="I453" s="21" t="inlineStr">
        <is>
          <t>顶部指标</t>
        </is>
      </c>
      <c r="J453" s="21" t="inlineStr">
        <is>
          <t>kpi.openCount</t>
        </is>
      </c>
      <c r="K453" s="21" t="inlineStr">
        <is>
          <t>整数</t>
        </is>
      </c>
      <c r="L453" s="20" t="inlineStr"/>
      <c r="M453" s="21" t="inlineStr">
        <is>
          <t>Q-02 待处理问题</t>
        </is>
      </c>
      <c r="N453" s="21" t="inlineStr"/>
      <c r="O453" s="21" t="inlineStr">
        <is>
          <t>COUNT(qc_issue WHERE state ∈ {open, pending_confirm})</t>
        </is>
      </c>
      <c r="P453" s="15" t="n"/>
    </row>
    <row r="454" ht="17.5" customHeight="1">
      <c r="A454" s="15" t="n"/>
      <c r="B454" s="15" t="n"/>
      <c r="C454" s="15" t="n"/>
      <c r="D454" s="15" t="n"/>
      <c r="E454" s="15" t="n"/>
      <c r="F454" s="15" t="n"/>
      <c r="G454" s="15" t="n"/>
      <c r="H454" s="20" t="inlineStr">
        <is>
          <t>页面口径</t>
        </is>
      </c>
      <c r="I454" s="21" t="inlineStr">
        <is>
          <t>顶部指标</t>
        </is>
      </c>
      <c r="J454" s="21" t="inlineStr">
        <is>
          <t>kpi.affectedPatients</t>
        </is>
      </c>
      <c r="K454" s="21" t="inlineStr">
        <is>
          <t>整数</t>
        </is>
      </c>
      <c r="L454" s="20" t="inlineStr"/>
      <c r="M454" s="21" t="inlineStr">
        <is>
          <t>Q-03 涉及患者</t>
        </is>
      </c>
      <c r="N454" s="21" t="inlineStr"/>
      <c r="O454" s="21" t="inlineStr">
        <is>
          <t>上述问题的去重患者数</t>
        </is>
      </c>
      <c r="P454" s="15" t="n"/>
    </row>
    <row r="455" ht="17.5" customHeight="1">
      <c r="A455" s="15" t="n"/>
      <c r="B455" s="15" t="n"/>
      <c r="C455" s="15" t="n"/>
      <c r="D455" s="15" t="n"/>
      <c r="E455" s="15" t="n"/>
      <c r="F455" s="15" t="n"/>
      <c r="G455" s="15" t="n"/>
      <c r="H455" s="20" t="inlineStr">
        <is>
          <t>页面口径</t>
        </is>
      </c>
      <c r="I455" s="21" t="inlineStr">
        <is>
          <t>顶部指标</t>
        </is>
      </c>
      <c r="J455" s="21" t="inlineStr">
        <is>
          <t>kpi.readyPatients</t>
        </is>
      </c>
      <c r="K455" s="21" t="inlineStr">
        <is>
          <t>整数</t>
        </is>
      </c>
      <c r="L455" s="20" t="inlineStr"/>
      <c r="M455" s="21" t="inlineStr">
        <is>
          <t>Q-04 满足研究级质量要求</t>
        </is>
      </c>
      <c r="N455" s="21" t="inlineStr"/>
      <c r="O455" s="21">
        <f> 患者总数 − affectedPatients</f>
        <v/>
      </c>
      <c r="P455" s="15" t="n"/>
    </row>
    <row r="456" ht="31" customHeight="1">
      <c r="A456" s="15" t="n"/>
      <c r="B456" s="15" t="n"/>
      <c r="C456" s="15" t="n"/>
      <c r="D456" s="15" t="n"/>
      <c r="E456" s="15" t="n"/>
      <c r="F456" s="15" t="n"/>
      <c r="G456" s="15" t="n"/>
      <c r="H456" s="20" t="inlineStr">
        <is>
          <t>页面口径</t>
        </is>
      </c>
      <c r="I456" s="21" t="inlineStr">
        <is>
          <t>页头</t>
        </is>
      </c>
      <c r="J456" s="21" t="inlineStr">
        <is>
          <t>kpi.totalIssues 等</t>
        </is>
      </c>
      <c r="K456" s="21" t="inlineStr">
        <is>
          <t>整数</t>
        </is>
      </c>
      <c r="L456" s="20" t="inlineStr"/>
      <c r="M456" s="21" t="inlineStr">
        <is>
          <t>Q-05 共发现 N 个质控问题 · N 个待处理，涉及 N 位患者</t>
        </is>
      </c>
      <c r="N456" s="21" t="inlineStr"/>
      <c r="O456" s="21" t="inlineStr">
        <is>
          <t>totalIssues = 全部状态问题总数（含已处理）</t>
        </is>
      </c>
      <c r="P456" s="15" t="n"/>
    </row>
    <row r="457" ht="17.5" customHeight="1">
      <c r="A457" s="8" t="inlineStr">
        <is>
          <t>数据质控</t>
        </is>
      </c>
      <c r="B457" s="8" t="inlineStr">
        <is>
          <t>data-quality.html</t>
        </is>
      </c>
      <c r="C457" s="8" t="inlineStr">
        <is>
          <t>「标记已处理」</t>
        </is>
      </c>
      <c r="D457" s="9" t="inlineStr">
        <is>
          <t>Q02</t>
        </is>
      </c>
      <c r="E457" s="10" t="inlineStr">
        <is>
          <t>处理质控问题</t>
        </is>
      </c>
      <c r="F457" s="11" t="inlineStr">
        <is>
          <t>PATCH</t>
        </is>
      </c>
      <c r="G457" s="12" t="inlineStr">
        <is>
          <t>/api/v1/qc/issues/{issueId}</t>
        </is>
      </c>
      <c r="H457" s="13" t="inlineStr">
        <is>
          <t>入参</t>
        </is>
      </c>
      <c r="I457" s="14" t="inlineStr">
        <is>
          <t>path</t>
        </is>
      </c>
      <c r="J457" s="14" t="inlineStr">
        <is>
          <t>issueId</t>
        </is>
      </c>
      <c r="K457" s="14" t="inlineStr">
        <is>
          <t>string</t>
        </is>
      </c>
      <c r="L457" s="13" t="inlineStr">
        <is>
          <t>是</t>
        </is>
      </c>
      <c r="M457" s="14" t="inlineStr">
        <is>
          <t>问题 ID</t>
        </is>
      </c>
      <c r="N457" s="14" t="inlineStr">
        <is>
          <t>qc_0192</t>
        </is>
      </c>
      <c r="O457" s="14" t="inlineStr"/>
      <c r="P457" s="8" t="inlineStr">
        <is>
          <t>写审计「质控处理」：问题、类型、状态「待处理 → 已处理」。
一期页面只有「标记已处理」；reply / reopen 预留（状态流转见待确认表）。
人工标记已处理后，同一规则 + 同一字段 + 同一值不再重复报出。</t>
        </is>
      </c>
    </row>
    <row r="458" ht="31" customHeight="1">
      <c r="A458" s="15" t="n"/>
      <c r="B458" s="15" t="n"/>
      <c r="C458" s="15" t="n"/>
      <c r="D458" s="15" t="n"/>
      <c r="E458" s="15" t="n"/>
      <c r="F458" s="15" t="n"/>
      <c r="G458" s="15" t="n"/>
      <c r="H458" s="16" t="inlineStr">
        <is>
          <t>入参</t>
        </is>
      </c>
      <c r="I458" s="17" t="inlineStr">
        <is>
          <t>body</t>
        </is>
      </c>
      <c r="J458" s="17" t="inlineStr">
        <is>
          <t>action</t>
        </is>
      </c>
      <c r="K458" s="17" t="inlineStr">
        <is>
          <t>enum</t>
        </is>
      </c>
      <c r="L458" s="16" t="inlineStr">
        <is>
          <t>是</t>
        </is>
      </c>
      <c r="M458" s="17" t="inlineStr">
        <is>
          <t>resolve 标记已处理 / reply 研究者回复（→待确认）/ reopen 重新打开</t>
        </is>
      </c>
      <c r="N458" s="17" t="inlineStr">
        <is>
          <t>resolve</t>
        </is>
      </c>
      <c r="O458" s="17" t="inlineStr"/>
      <c r="P458" s="15" t="n"/>
    </row>
    <row r="459" ht="17.5" customHeight="1">
      <c r="A459" s="15" t="n"/>
      <c r="B459" s="15" t="n"/>
      <c r="C459" s="15" t="n"/>
      <c r="D459" s="15" t="n"/>
      <c r="E459" s="15" t="n"/>
      <c r="F459" s="15" t="n"/>
      <c r="G459" s="15" t="n"/>
      <c r="H459" s="16" t="inlineStr">
        <is>
          <t>入参</t>
        </is>
      </c>
      <c r="I459" s="17" t="inlineStr">
        <is>
          <t>body</t>
        </is>
      </c>
      <c r="J459" s="17" t="inlineStr">
        <is>
          <t>note</t>
        </is>
      </c>
      <c r="K459" s="17" t="inlineStr">
        <is>
          <t>string</t>
        </is>
      </c>
      <c r="L459" s="16" t="inlineStr">
        <is>
          <t>否</t>
        </is>
      </c>
      <c r="M459" s="17" t="inlineStr">
        <is>
          <t>处理说明，如「已核对原始病历，数值无误」</t>
        </is>
      </c>
      <c r="N459" s="17" t="inlineStr">
        <is>
          <t>已核对原始报告</t>
        </is>
      </c>
      <c r="O459" s="17" t="inlineStr"/>
      <c r="P459" s="15" t="n"/>
    </row>
    <row r="460" ht="17.5" customHeight="1">
      <c r="A460" s="15" t="n"/>
      <c r="B460" s="15" t="n"/>
      <c r="C460" s="15" t="n"/>
      <c r="D460" s="15" t="n"/>
      <c r="E460" s="15" t="n"/>
      <c r="F460" s="15" t="n"/>
      <c r="G460" s="15" t="n"/>
      <c r="H460" s="18" t="inlineStr">
        <is>
          <t>出参</t>
        </is>
      </c>
      <c r="I460" s="19" t="inlineStr">
        <is>
          <t>data</t>
        </is>
      </c>
      <c r="J460" s="19" t="inlineStr">
        <is>
          <t>issue</t>
        </is>
      </c>
      <c r="K460" s="19" t="inlineStr">
        <is>
          <t>object</t>
        </is>
      </c>
      <c r="L460" s="18" t="inlineStr"/>
      <c r="M460" s="19" t="inlineStr">
        <is>
          <t>更新后的问题，结构同 Q01 items</t>
        </is>
      </c>
      <c r="N460" s="19" t="inlineStr"/>
      <c r="O460" s="19" t="inlineStr"/>
      <c r="P460" s="15" t="n"/>
    </row>
    <row r="461" ht="17.5" customHeight="1">
      <c r="A461" s="15" t="n"/>
      <c r="B461" s="15" t="n"/>
      <c r="C461" s="15" t="n"/>
      <c r="D461" s="15" t="n"/>
      <c r="E461" s="15" t="n"/>
      <c r="F461" s="15" t="n"/>
      <c r="G461" s="15" t="n"/>
      <c r="H461" s="18" t="inlineStr">
        <is>
          <t>出参</t>
        </is>
      </c>
      <c r="I461" s="19" t="inlineStr">
        <is>
          <t>data</t>
        </is>
      </c>
      <c r="J461" s="19" t="inlineStr">
        <is>
          <t>kpi</t>
        </is>
      </c>
      <c r="K461" s="19" t="inlineStr">
        <is>
          <t>object</t>
        </is>
      </c>
      <c r="L461" s="18" t="inlineStr"/>
      <c r="M461" s="19" t="inlineStr">
        <is>
          <t>更新后的顶部指标，结构同 Q01 kpi</t>
        </is>
      </c>
      <c r="N461" s="19" t="inlineStr"/>
      <c r="O461" s="19" t="inlineStr"/>
      <c r="P461" s="15" t="n"/>
    </row>
    <row r="462" ht="17.5" customHeight="1">
      <c r="A462" s="8" t="inlineStr">
        <is>
          <t>数据质控</t>
        </is>
      </c>
      <c r="B462" s="8" t="inlineStr">
        <is>
          <t>data-quality.html</t>
        </is>
      </c>
      <c r="C462" s="8" t="inlineStr">
        <is>
          <t>「运行质控检查」</t>
        </is>
      </c>
      <c r="D462" s="9" t="inlineStr">
        <is>
          <t>Q03</t>
        </is>
      </c>
      <c r="E462" s="10" t="inlineStr">
        <is>
          <t>运行质控检查</t>
        </is>
      </c>
      <c r="F462" s="11" t="inlineStr">
        <is>
          <t>POST</t>
        </is>
      </c>
      <c r="G462" s="12" t="inlineStr">
        <is>
          <t>/api/v1/qc/run</t>
        </is>
      </c>
      <c r="H462" s="13" t="inlineStr">
        <is>
          <t>入参</t>
        </is>
      </c>
      <c r="I462" s="14" t="inlineStr">
        <is>
          <t>body</t>
        </is>
      </c>
      <c r="J462" s="14" t="inlineStr">
        <is>
          <t>studyId</t>
        </is>
      </c>
      <c r="K462" s="14" t="inlineStr">
        <is>
          <t>string</t>
        </is>
      </c>
      <c r="L462" s="13" t="inlineStr">
        <is>
          <t>是</t>
        </is>
      </c>
      <c r="M462" s="14" t="inlineStr">
        <is>
          <t>研究库编码</t>
        </is>
      </c>
      <c r="N462" s="14" t="inlineStr">
        <is>
          <t>RA</t>
        </is>
      </c>
      <c r="O462" s="14" t="inlineStr"/>
      <c r="P462" s="8" t="inlineStr">
        <is>
          <t>一期同步执行（RA 库数据量小）。另外：访视提交/编辑后自动检查该患者；每天 02:00 全库检查一次（随访缺失类依赖日期变化）。</t>
        </is>
      </c>
    </row>
    <row r="463" ht="17.5" customHeight="1">
      <c r="A463" s="15" t="n"/>
      <c r="B463" s="15" t="n"/>
      <c r="C463" s="15" t="n"/>
      <c r="D463" s="15" t="n"/>
      <c r="E463" s="15" t="n"/>
      <c r="F463" s="15" t="n"/>
      <c r="G463" s="15" t="n"/>
      <c r="H463" s="16" t="inlineStr">
        <is>
          <t>入参</t>
        </is>
      </c>
      <c r="I463" s="17" t="inlineStr">
        <is>
          <t>body</t>
        </is>
      </c>
      <c r="J463" s="17" t="inlineStr">
        <is>
          <t>patientId</t>
        </is>
      </c>
      <c r="K463" s="17" t="inlineStr">
        <is>
          <t>string</t>
        </is>
      </c>
      <c r="L463" s="16" t="inlineStr">
        <is>
          <t>否</t>
        </is>
      </c>
      <c r="M463" s="17" t="inlineStr">
        <is>
          <t>只检查某位患者；不传=全库</t>
        </is>
      </c>
      <c r="N463" s="17" t="inlineStr"/>
      <c r="O463" s="17" t="inlineStr"/>
      <c r="P463" s="15" t="n"/>
    </row>
    <row r="464" ht="17.5" customHeight="1">
      <c r="A464" s="15" t="n"/>
      <c r="B464" s="15" t="n"/>
      <c r="C464" s="15" t="n"/>
      <c r="D464" s="15" t="n"/>
      <c r="E464" s="15" t="n"/>
      <c r="F464" s="15" t="n"/>
      <c r="G464" s="15" t="n"/>
      <c r="H464" s="18" t="inlineStr">
        <is>
          <t>出参</t>
        </is>
      </c>
      <c r="I464" s="19" t="inlineStr">
        <is>
          <t>data</t>
        </is>
      </c>
      <c r="J464" s="19" t="inlineStr">
        <is>
          <t>totalIssues</t>
        </is>
      </c>
      <c r="K464" s="19" t="inlineStr">
        <is>
          <t>integer</t>
        </is>
      </c>
      <c r="L464" s="18" t="inlineStr"/>
      <c r="M464" s="19" t="inlineStr">
        <is>
          <t>检查后问题总数（页面提示「共 N 个问题」）</t>
        </is>
      </c>
      <c r="N464" s="19" t="inlineStr">
        <is>
          <t>92</t>
        </is>
      </c>
      <c r="O464" s="19" t="inlineStr"/>
      <c r="P464" s="15" t="n"/>
    </row>
    <row r="465" ht="17.5" customHeight="1">
      <c r="A465" s="15" t="n"/>
      <c r="B465" s="15" t="n"/>
      <c r="C465" s="15" t="n"/>
      <c r="D465" s="15" t="n"/>
      <c r="E465" s="15" t="n"/>
      <c r="F465" s="15" t="n"/>
      <c r="G465" s="15" t="n"/>
      <c r="H465" s="18" t="inlineStr">
        <is>
          <t>出参</t>
        </is>
      </c>
      <c r="I465" s="19" t="inlineStr">
        <is>
          <t>data</t>
        </is>
      </c>
      <c r="J465" s="19" t="inlineStr">
        <is>
          <t>newIssues</t>
        </is>
      </c>
      <c r="K465" s="19" t="inlineStr">
        <is>
          <t>integer</t>
        </is>
      </c>
      <c r="L465" s="18" t="inlineStr"/>
      <c r="M465" s="19" t="inlineStr">
        <is>
          <t>新发现</t>
        </is>
      </c>
      <c r="N465" s="19" t="inlineStr">
        <is>
          <t>4</t>
        </is>
      </c>
      <c r="O465" s="19" t="inlineStr"/>
      <c r="P465" s="15" t="n"/>
    </row>
    <row r="466" ht="17.5" customHeight="1">
      <c r="A466" s="15" t="n"/>
      <c r="B466" s="15" t="n"/>
      <c r="C466" s="15" t="n"/>
      <c r="D466" s="15" t="n"/>
      <c r="E466" s="15" t="n"/>
      <c r="F466" s="15" t="n"/>
      <c r="G466" s="15" t="n"/>
      <c r="H466" s="18" t="inlineStr">
        <is>
          <t>出参</t>
        </is>
      </c>
      <c r="I466" s="19" t="inlineStr">
        <is>
          <t>data</t>
        </is>
      </c>
      <c r="J466" s="19" t="inlineStr">
        <is>
          <t>autoClosed</t>
        </is>
      </c>
      <c r="K466" s="19" t="inlineStr">
        <is>
          <t>integer</t>
        </is>
      </c>
      <c r="L466" s="18" t="inlineStr"/>
      <c r="M466" s="19" t="inlineStr">
        <is>
          <t>数据已修正、自动关闭的</t>
        </is>
      </c>
      <c r="N466" s="19" t="inlineStr">
        <is>
          <t>2</t>
        </is>
      </c>
      <c r="O466" s="19" t="inlineStr"/>
      <c r="P466" s="15" t="n"/>
    </row>
    <row r="467" ht="17.5" customHeight="1">
      <c r="A467" s="15" t="n"/>
      <c r="B467" s="15" t="n"/>
      <c r="C467" s="15" t="n"/>
      <c r="D467" s="15" t="n"/>
      <c r="E467" s="15" t="n"/>
      <c r="F467" s="15" t="n"/>
      <c r="G467" s="15" t="n"/>
      <c r="H467" s="18" t="inlineStr">
        <is>
          <t>出参</t>
        </is>
      </c>
      <c r="I467" s="19" t="inlineStr">
        <is>
          <t>data</t>
        </is>
      </c>
      <c r="J467" s="19" t="inlineStr">
        <is>
          <t>finishedAt</t>
        </is>
      </c>
      <c r="K467" s="19" t="inlineStr">
        <is>
          <t>datetime</t>
        </is>
      </c>
      <c r="L467" s="18" t="inlineStr"/>
      <c r="M467" s="19" t="inlineStr">
        <is>
          <t>完成时间</t>
        </is>
      </c>
      <c r="N467" s="19" t="inlineStr">
        <is>
          <t>2026-09-30T10:05:00+08:00</t>
        </is>
      </c>
      <c r="O467" s="19" t="inlineStr"/>
      <c r="P467" s="15" t="n"/>
    </row>
  </sheetData>
  <autoFilter ref="A1:P467"/>
  <mergeCells count="216">
    <mergeCell ref="P462:P467"/>
    <mergeCell ref="C55:C127"/>
    <mergeCell ref="B380:B385"/>
    <mergeCell ref="D240:D282"/>
    <mergeCell ref="F28:F54"/>
    <mergeCell ref="A230:A239"/>
    <mergeCell ref="P380:P385"/>
    <mergeCell ref="P146:P190"/>
    <mergeCell ref="E286:E297"/>
    <mergeCell ref="E360:E379"/>
    <mergeCell ref="B417:B456"/>
    <mergeCell ref="G286:G297"/>
    <mergeCell ref="D325:D330"/>
    <mergeCell ref="F325:F330"/>
    <mergeCell ref="P417:P456"/>
    <mergeCell ref="B13:B14"/>
    <mergeCell ref="F319:F324"/>
    <mergeCell ref="B360:B379"/>
    <mergeCell ref="D13:D14"/>
    <mergeCell ref="D331:D345"/>
    <mergeCell ref="F331:F345"/>
    <mergeCell ref="B325:B330"/>
    <mergeCell ref="E191:E212"/>
    <mergeCell ref="P331:P345"/>
    <mergeCell ref="C230:C239"/>
    <mergeCell ref="F13:F14"/>
    <mergeCell ref="C298:C315"/>
    <mergeCell ref="G316:G318"/>
    <mergeCell ref="C462:C467"/>
    <mergeCell ref="E298:E315"/>
    <mergeCell ref="G457:G461"/>
    <mergeCell ref="E462:E467"/>
    <mergeCell ref="D316:D318"/>
    <mergeCell ref="F316:F318"/>
    <mergeCell ref="B15:B18"/>
    <mergeCell ref="D15:D18"/>
    <mergeCell ref="G462:G467"/>
    <mergeCell ref="A146:A190"/>
    <mergeCell ref="D128:D145"/>
    <mergeCell ref="C146:C190"/>
    <mergeCell ref="F128:F145"/>
    <mergeCell ref="E325:E330"/>
    <mergeCell ref="P15:P18"/>
    <mergeCell ref="G325:G330"/>
    <mergeCell ref="A417:A456"/>
    <mergeCell ref="C417:C456"/>
    <mergeCell ref="F55:F127"/>
    <mergeCell ref="E380:E385"/>
    <mergeCell ref="G222:G229"/>
    <mergeCell ref="G380:G385"/>
    <mergeCell ref="G146:G190"/>
    <mergeCell ref="B283:B285"/>
    <mergeCell ref="A457:A461"/>
    <mergeCell ref="D283:D285"/>
    <mergeCell ref="C457:C461"/>
    <mergeCell ref="P316:P318"/>
    <mergeCell ref="E417:E456"/>
    <mergeCell ref="F298:F315"/>
    <mergeCell ref="G417:G456"/>
    <mergeCell ref="A240:A282"/>
    <mergeCell ref="C240:C282"/>
    <mergeCell ref="E13:E14"/>
    <mergeCell ref="G13:G14"/>
    <mergeCell ref="A55:A127"/>
    <mergeCell ref="D213:D221"/>
    <mergeCell ref="A319:A324"/>
    <mergeCell ref="B28:B54"/>
    <mergeCell ref="C319:C324"/>
    <mergeCell ref="G331:G345"/>
    <mergeCell ref="D28:D54"/>
    <mergeCell ref="G360:G379"/>
    <mergeCell ref="A213:A221"/>
    <mergeCell ref="P28:P54"/>
    <mergeCell ref="C213:C221"/>
    <mergeCell ref="C346:C359"/>
    <mergeCell ref="E457:E461"/>
    <mergeCell ref="E346:E359"/>
    <mergeCell ref="F462:F467"/>
    <mergeCell ref="B191:B212"/>
    <mergeCell ref="P240:P282"/>
    <mergeCell ref="A2:A12"/>
    <mergeCell ref="C283:C285"/>
    <mergeCell ref="C2:C12"/>
    <mergeCell ref="E283:E285"/>
    <mergeCell ref="E2:E12"/>
    <mergeCell ref="E15:E18"/>
    <mergeCell ref="G213:G221"/>
    <mergeCell ref="A19:A27"/>
    <mergeCell ref="G15:G18"/>
    <mergeCell ref="C19:C27"/>
    <mergeCell ref="F146:F190"/>
    <mergeCell ref="P325:P330"/>
    <mergeCell ref="P13:P14"/>
    <mergeCell ref="E230:E239"/>
    <mergeCell ref="B240:B282"/>
    <mergeCell ref="D19:D27"/>
    <mergeCell ref="A286:A297"/>
    <mergeCell ref="F19:F27"/>
    <mergeCell ref="F457:F461"/>
    <mergeCell ref="C286:C297"/>
    <mergeCell ref="A380:A385"/>
    <mergeCell ref="F240:F282"/>
    <mergeCell ref="B346:B359"/>
    <mergeCell ref="D346:D359"/>
    <mergeCell ref="B331:B345"/>
    <mergeCell ref="P319:P324"/>
    <mergeCell ref="E28:E54"/>
    <mergeCell ref="A191:A212"/>
    <mergeCell ref="G28:G54"/>
    <mergeCell ref="D360:D379"/>
    <mergeCell ref="C316:C318"/>
    <mergeCell ref="F213:F221"/>
    <mergeCell ref="P346:P359"/>
    <mergeCell ref="P360:P379"/>
    <mergeCell ref="A462:A467"/>
    <mergeCell ref="A360:A379"/>
    <mergeCell ref="G191:G212"/>
    <mergeCell ref="B316:B318"/>
    <mergeCell ref="P283:P285"/>
    <mergeCell ref="F2:F12"/>
    <mergeCell ref="B128:B145"/>
    <mergeCell ref="A325:A330"/>
    <mergeCell ref="B298:B315"/>
    <mergeCell ref="D386:D416"/>
    <mergeCell ref="C325:C330"/>
    <mergeCell ref="D298:D315"/>
    <mergeCell ref="C386:C416"/>
    <mergeCell ref="P222:P229"/>
    <mergeCell ref="P213:P221"/>
    <mergeCell ref="A222:A229"/>
    <mergeCell ref="A386:A416"/>
    <mergeCell ref="E146:E190"/>
    <mergeCell ref="A331:A345"/>
    <mergeCell ref="F286:F297"/>
    <mergeCell ref="A13:A14"/>
    <mergeCell ref="E319:E324"/>
    <mergeCell ref="D380:D385"/>
    <mergeCell ref="G319:G324"/>
    <mergeCell ref="F380:F385"/>
    <mergeCell ref="C331:C345"/>
    <mergeCell ref="E331:E345"/>
    <mergeCell ref="D191:D212"/>
    <mergeCell ref="E213:E221"/>
    <mergeCell ref="E386:E416"/>
    <mergeCell ref="C380:C385"/>
    <mergeCell ref="D417:D456"/>
    <mergeCell ref="F417:F456"/>
    <mergeCell ref="A346:A359"/>
    <mergeCell ref="B462:B467"/>
    <mergeCell ref="C191:C212"/>
    <mergeCell ref="E55:E127"/>
    <mergeCell ref="G283:G285"/>
    <mergeCell ref="F360:F379"/>
    <mergeCell ref="B319:B324"/>
    <mergeCell ref="A283:A285"/>
    <mergeCell ref="E316:E318"/>
    <mergeCell ref="D319:D324"/>
    <mergeCell ref="A15:A18"/>
    <mergeCell ref="C15:C18"/>
    <mergeCell ref="B222:B229"/>
    <mergeCell ref="B146:B190"/>
    <mergeCell ref="E128:E145"/>
    <mergeCell ref="D146:D190"/>
    <mergeCell ref="G230:G239"/>
    <mergeCell ref="G128:G145"/>
    <mergeCell ref="G386:G416"/>
    <mergeCell ref="G298:G315"/>
    <mergeCell ref="A298:A315"/>
    <mergeCell ref="D222:D229"/>
    <mergeCell ref="B2:B12"/>
    <mergeCell ref="G55:G127"/>
    <mergeCell ref="F222:F229"/>
    <mergeCell ref="D2:D12"/>
    <mergeCell ref="F386:F416"/>
    <mergeCell ref="F15:F18"/>
    <mergeCell ref="B19:B27"/>
    <mergeCell ref="B457:B461"/>
    <mergeCell ref="P2:P12"/>
    <mergeCell ref="D457:D461"/>
    <mergeCell ref="P19:P27"/>
    <mergeCell ref="P457:P461"/>
    <mergeCell ref="F346:F359"/>
    <mergeCell ref="A28:A54"/>
    <mergeCell ref="B55:B127"/>
    <mergeCell ref="C28:C54"/>
    <mergeCell ref="D55:D127"/>
    <mergeCell ref="P386:P416"/>
    <mergeCell ref="B286:B297"/>
    <mergeCell ref="D286:D297"/>
    <mergeCell ref="P298:P315"/>
    <mergeCell ref="B213:B221"/>
    <mergeCell ref="P286:P297"/>
    <mergeCell ref="E240:E282"/>
    <mergeCell ref="P55:P127"/>
    <mergeCell ref="G240:G282"/>
    <mergeCell ref="F283:F285"/>
    <mergeCell ref="C360:C379"/>
    <mergeCell ref="C222:C229"/>
    <mergeCell ref="E222:E229"/>
    <mergeCell ref="P128:P145"/>
    <mergeCell ref="C13:C14"/>
    <mergeCell ref="B386:B416"/>
    <mergeCell ref="G346:G359"/>
    <mergeCell ref="F191:F212"/>
    <mergeCell ref="A316:A318"/>
    <mergeCell ref="B230:B239"/>
    <mergeCell ref="P191:P212"/>
    <mergeCell ref="D230:D239"/>
    <mergeCell ref="G2:G12"/>
    <mergeCell ref="F230:F239"/>
    <mergeCell ref="D462:D467"/>
    <mergeCell ref="A128:A145"/>
    <mergeCell ref="E19:E27"/>
    <mergeCell ref="P230:P239"/>
    <mergeCell ref="C128:C145"/>
    <mergeCell ref="G19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6" customWidth="1" min="4" max="4"/>
    <col width="26" customWidth="1" min="5" max="5"/>
    <col width="30" customWidth="1" min="6" max="6"/>
    <col width="70" customWidth="1" min="7" max="7"/>
    <col width="16" customWidth="1" min="8" max="8"/>
    <col width="14" customWidth="1" min="9" max="9"/>
  </cols>
  <sheetData>
    <row r="1" ht="22" customHeight="1">
      <c r="A1" s="3" t="inlineStr">
        <is>
          <t>编号</t>
        </is>
      </c>
      <c r="B1" s="3" t="inlineStr">
        <is>
          <t>页面</t>
        </is>
      </c>
      <c r="C1" s="3" t="inlineStr">
        <is>
          <t>区块</t>
        </is>
      </c>
      <c r="D1" s="3" t="inlineStr">
        <is>
          <t>页面显示</t>
        </is>
      </c>
      <c r="E1" s="3" t="inlineStr">
        <is>
          <t>返回字段</t>
        </is>
      </c>
      <c r="F1" s="3" t="inlineStr">
        <is>
          <t>定义</t>
        </is>
      </c>
      <c r="G1" s="3" t="inlineStr">
        <is>
          <t>计算规则</t>
        </is>
      </c>
      <c r="H1" s="3" t="inlineStr">
        <is>
          <t>格式</t>
        </is>
      </c>
      <c r="I1" s="3" t="inlineStr">
        <is>
          <t>所属接口</t>
        </is>
      </c>
    </row>
    <row r="2" ht="17.5" customHeight="1">
      <c r="A2" s="22" t="inlineStr">
        <is>
          <t>B-01</t>
        </is>
      </c>
      <c r="B2" s="21" t="inlineStr">
        <is>
          <t>通用</t>
        </is>
      </c>
      <c r="C2" s="21" t="inlineStr">
        <is>
          <t>—</t>
        </is>
      </c>
      <c r="D2" s="21" t="inlineStr">
        <is>
          <t>今天</t>
        </is>
      </c>
      <c r="E2" s="21" t="inlineStr">
        <is>
          <t>—</t>
        </is>
      </c>
      <c r="F2" s="21" t="inlineStr">
        <is>
          <t>统计基准日</t>
        </is>
      </c>
      <c r="G2" s="21" t="inlineStr">
        <is>
          <t>服务器当前日期，时区 Asia/Shanghai</t>
        </is>
      </c>
      <c r="H2" s="21" t="inlineStr">
        <is>
          <t>YYYY-MM-DD</t>
        </is>
      </c>
      <c r="I2" s="21" t="inlineStr">
        <is>
          <t>全部</t>
        </is>
      </c>
    </row>
    <row r="3" ht="31" customHeight="1">
      <c r="A3" s="22" t="inlineStr">
        <is>
          <t>B-02</t>
        </is>
      </c>
      <c r="B3" s="21" t="inlineStr">
        <is>
          <t>通用</t>
        </is>
      </c>
      <c r="C3" s="21" t="inlineStr">
        <is>
          <t>—</t>
        </is>
      </c>
      <c r="D3" s="21" t="inlineStr">
        <is>
          <t>统计范围</t>
        </is>
      </c>
      <c r="E3" s="21" t="inlineStr">
        <is>
          <t>—</t>
        </is>
      </c>
      <c r="F3" s="21" t="inlineStr">
        <is>
          <t>参与统计的患者</t>
        </is>
      </c>
      <c r="G3" s="21" t="inlineStr">
        <is>
          <t>当前 studyId 下、未被逻辑删除的患者；「已脱落」患者计入总数，但不计入随访计划与逾期类统计</t>
        </is>
      </c>
      <c r="H3" s="21" t="inlineStr">
        <is>
          <t>—</t>
        </is>
      </c>
      <c r="I3" s="21" t="inlineStr">
        <is>
          <t>全部</t>
        </is>
      </c>
    </row>
    <row r="4" ht="71.5" customHeight="1">
      <c r="A4" s="22" t="inlineStr">
        <is>
          <t>B-03</t>
        </is>
      </c>
      <c r="B4" s="21" t="inlineStr">
        <is>
          <t>通用</t>
        </is>
      </c>
      <c r="C4" s="21" t="inlineStr">
        <is>
          <t>—</t>
        </is>
      </c>
      <c r="D4" s="21" t="inlineStr">
        <is>
          <t>下次随访日期 / 距今天数 / 随访计划状态</t>
        </is>
      </c>
      <c r="E4" s="21" t="inlineStr">
        <is>
          <t>nextFollowup.dueDate / days / status</t>
        </is>
      </c>
      <c r="F4" s="21" t="inlineStr">
        <is>
          <t>按患者随访周期推算的下一次随访</t>
        </is>
      </c>
      <c r="G4" s="21" t="inlineStr">
        <is>
          <t>条件：未脱落 且 至少有 1 次已提交访视。
dueDate = 最近一次已提交访视日期 + followCycle 个自然月（目标月没有该日时取当月最后一天）。
days = dueDate − 今天。
status：days &lt; 0 → overdue；0 ≤ days ≤ 14 → soon；days &gt; 14 → later</t>
        </is>
      </c>
      <c r="H4" s="21" t="inlineStr">
        <is>
          <t>整数天</t>
        </is>
      </c>
      <c r="I4" s="21" t="inlineStr">
        <is>
          <t>PT01 PT06 F01 D01</t>
        </is>
      </c>
    </row>
    <row r="5" ht="71.5" customHeight="1">
      <c r="A5" s="22" t="inlineStr">
        <is>
          <t>B-04</t>
        </is>
      </c>
      <c r="B5" s="21" t="inlineStr">
        <is>
          <t>通用</t>
        </is>
      </c>
      <c r="C5" s="21" t="inlineStr">
        <is>
          <t>—</t>
        </is>
      </c>
      <c r="D5" s="21" t="inlineStr">
        <is>
          <t>随访状态（患者）</t>
        </is>
      </c>
      <c r="E5" s="21" t="inlineStr">
        <is>
          <t>followStatus</t>
        </is>
      </c>
      <c r="F5" s="21" t="inlineStr">
        <is>
          <t>患者当前随访状态（按优先级判断，命中即止）</t>
        </is>
      </c>
      <c r="G5" s="21" t="inlineStr">
        <is>
          <t>1) 已脱落 → withdrawn 已脱落
2) 已提交访视数 = 0 → pending_first 待首次随访
3) B-03 status = overdue → overdue 随访逾期
4) B-03 status = soon → soon 近期需随访
5) 其余 → active 随访中</t>
        </is>
      </c>
      <c r="H5" s="21" t="inlineStr">
        <is>
          <t>枚举</t>
        </is>
      </c>
      <c r="I5" s="21" t="inlineStr">
        <is>
          <t>PT01 PT06</t>
        </is>
      </c>
    </row>
    <row r="6" ht="85" customHeight="1">
      <c r="A6" s="22" t="inlineStr">
        <is>
          <t>B-05</t>
        </is>
      </c>
      <c r="B6" s="21" t="inlineStr">
        <is>
          <t>通用</t>
        </is>
      </c>
      <c r="C6" s="21" t="inlineStr">
        <is>
          <t>—</t>
        </is>
      </c>
      <c r="D6" s="21" t="inlineStr">
        <is>
          <t>最近一次 DAS28</t>
        </is>
      </c>
      <c r="E6" s="21" t="inlineStr">
        <is>
          <t>latestDas28</t>
        </is>
      </c>
      <c r="F6" s="21" t="inlineStr">
        <is>
          <t>患者最近一次有 DAS28 结果的访视值</t>
        </is>
      </c>
      <c r="G6" s="21" t="inlineStr">
        <is>
          <t>取最近一次已提交、且 DAS28 可计算的访视。
DAS28-CRP = 0.56×√TJC28 + 0.28×√SJC28 + 0.36×ln(CRP mg/L + 1) + 0.014×PtGA + 0.96
DAS28-ESR = 0.56×√TJC28 + 0.28×√SJC28 + 0.70×ln(ESR mm/h) + 0.014×PtGA
PtGA = 患者疾病总体 VAS（0–100 mm）。缺任一组成项则不计算（null）。用哪个版本见待确认表。</t>
        </is>
      </c>
      <c r="H6" s="21" t="inlineStr">
        <is>
          <t>1 位小数</t>
        </is>
      </c>
      <c r="I6" s="21" t="inlineStr">
        <is>
          <t>PT01 PT06 D01 V03</t>
        </is>
      </c>
    </row>
    <row r="7" ht="31" customHeight="1">
      <c r="A7" s="22" t="inlineStr">
        <is>
          <t>B-06</t>
        </is>
      </c>
      <c r="B7" s="21" t="inlineStr">
        <is>
          <t>通用</t>
        </is>
      </c>
      <c r="C7" s="21" t="inlineStr">
        <is>
          <t>—</t>
        </is>
      </c>
      <c r="D7" s="21" t="inlineStr">
        <is>
          <t>疾病活动度分级</t>
        </is>
      </c>
      <c r="E7" s="21" t="inlineStr">
        <is>
          <t>das28Level</t>
        </is>
      </c>
      <c r="F7" s="21" t="inlineStr">
        <is>
          <t>按 DAS28 分级</t>
        </is>
      </c>
      <c r="G7" s="21" t="inlineStr">
        <is>
          <t>remission 缓解：&lt; 2.6；low 低活动：2.6–3.2；moderate 中活动：&gt; 3.2 且 ≤ 5.1；high 高活动：&gt; 5.1。达标 = remission 或 low（≤ 3.2）</t>
        </is>
      </c>
      <c r="H7" s="21" t="inlineStr">
        <is>
          <t>枚举</t>
        </is>
      </c>
      <c r="I7" s="21" t="inlineStr">
        <is>
          <t>D01 V03</t>
        </is>
      </c>
    </row>
    <row r="8" ht="31" customHeight="1">
      <c r="A8" s="22" t="inlineStr">
        <is>
          <t>B-07</t>
        </is>
      </c>
      <c r="B8" s="21" t="inlineStr">
        <is>
          <t>通用</t>
        </is>
      </c>
      <c r="C8" s="21" t="inlineStr">
        <is>
          <t>—</t>
        </is>
      </c>
      <c r="D8" s="21" t="inlineStr">
        <is>
          <t>资料完整 / 资料待补全</t>
        </is>
      </c>
      <c r="E8" s="21" t="inlineStr">
        <is>
          <t>incomplete</t>
        </is>
      </c>
      <c r="F8" s="21" t="inlineStr">
        <is>
          <t>患者是否有未关闭的「缺失」类质控问题</t>
        </is>
      </c>
      <c r="G8" s="21" t="inlineStr">
        <is>
          <t>incomplete = 存在 type=missing 且 state≠resolved 的质控问题（规则 QC-M01 ~ QC-M04）</t>
        </is>
      </c>
      <c r="H8" s="21" t="inlineStr">
        <is>
          <t>布尔</t>
        </is>
      </c>
      <c r="I8" s="21" t="inlineStr">
        <is>
          <t>PT01 D01</t>
        </is>
      </c>
    </row>
    <row r="9" ht="31" customHeight="1">
      <c r="A9" s="22" t="inlineStr">
        <is>
          <t>B-08</t>
        </is>
      </c>
      <c r="B9" s="21" t="inlineStr">
        <is>
          <t>通用</t>
        </is>
      </c>
      <c r="C9" s="21" t="inlineStr">
        <is>
          <t>—</t>
        </is>
      </c>
      <c r="D9" s="21" t="inlineStr">
        <is>
          <t>比例类字段</t>
        </is>
      </c>
      <c r="E9" s="21" t="inlineStr">
        <is>
          <t>*Rate</t>
        </is>
      </c>
      <c r="F9" s="21" t="inlineStr">
        <is>
          <t>统一格式</t>
        </is>
      </c>
      <c r="G9" s="21" t="inlineStr">
        <is>
          <t>返回 0–1 小数，保留 4 位；分母为 0 时返回 0。前端格式化为百分比（整数或 1 位小数按页面现状）</t>
        </is>
      </c>
      <c r="H9" s="21" t="inlineStr">
        <is>
          <t>number</t>
        </is>
      </c>
      <c r="I9" s="21" t="inlineStr">
        <is>
          <t>全部</t>
        </is>
      </c>
    </row>
    <row r="10" ht="17.5" customHeight="1">
      <c r="A10" s="4" t="inlineStr">
        <is>
          <t>G-01</t>
        </is>
      </c>
      <c r="B10" s="5" t="inlineStr">
        <is>
          <t>侧栏</t>
        </is>
      </c>
      <c r="C10" s="5" t="inlineStr">
        <is>
          <t>研究库切换</t>
        </is>
      </c>
      <c r="D10" s="5" t="inlineStr">
        <is>
          <t>N 患者</t>
        </is>
      </c>
      <c r="E10" s="5" t="inlineStr">
        <is>
          <t>patientCount</t>
        </is>
      </c>
      <c r="F10" s="5" t="inlineStr">
        <is>
          <t>研究库患者数</t>
        </is>
      </c>
      <c r="G10" s="5">
        <f> B-02 统计范围内患者数</f>
        <v/>
      </c>
      <c r="H10" s="5" t="inlineStr">
        <is>
          <t>整数</t>
        </is>
      </c>
      <c r="I10" s="5" t="inlineStr">
        <is>
          <t>G04</t>
        </is>
      </c>
    </row>
    <row r="11" ht="31" customHeight="1">
      <c r="A11" s="4" t="inlineStr">
        <is>
          <t>G-02</t>
        </is>
      </c>
      <c r="B11" s="5" t="inlineStr">
        <is>
          <t>侧栏</t>
        </is>
      </c>
      <c r="C11" s="5" t="inlineStr">
        <is>
          <t>研究库切换</t>
        </is>
      </c>
      <c r="D11" s="5" t="inlineStr">
        <is>
          <t>N 异常检验</t>
        </is>
      </c>
      <c r="E11" s="5" t="inlineStr">
        <is>
          <t>abnormalLabPatientCount</t>
        </is>
      </c>
      <c r="F11" s="5" t="inlineStr">
        <is>
          <t>最近一次访视有异常检验的患者数</t>
        </is>
      </c>
      <c r="G11" s="5" t="inlineStr">
        <is>
          <t>每位患者取最近一次已提交访视，任一 LAB 字段值超出参考区间（labFlag = H 或 L）即计 1 人（口径待确认）</t>
        </is>
      </c>
      <c r="H11" s="5" t="inlineStr">
        <is>
          <t>整数</t>
        </is>
      </c>
      <c r="I11" s="5" t="inlineStr">
        <is>
          <t>G04</t>
        </is>
      </c>
    </row>
    <row r="12" ht="17.5" customHeight="1">
      <c r="A12" s="4" t="inlineStr">
        <is>
          <t>P-01</t>
        </is>
      </c>
      <c r="B12" s="5" t="inlineStr">
        <is>
          <t>projects.html</t>
        </is>
      </c>
      <c r="C12" s="5" t="inlineStr">
        <is>
          <t>卡片 1</t>
        </is>
      </c>
      <c r="D12" s="5" t="inlineStr">
        <is>
          <t>已入组患者</t>
        </is>
      </c>
      <c r="E12" s="5" t="inlineStr">
        <is>
          <t>cards.enrolledCount</t>
        </is>
      </c>
      <c r="F12" s="5" t="inlineStr">
        <is>
          <t>研究库中已建档的患者总数</t>
        </is>
      </c>
      <c r="G12" s="5" t="inlineStr">
        <is>
          <t>COUNT(patient)，范围见 B-02（含已脱落）</t>
        </is>
      </c>
      <c r="H12" s="5" t="inlineStr">
        <is>
          <t>整数</t>
        </is>
      </c>
      <c r="I12" s="5" t="inlineStr">
        <is>
          <t>P01</t>
        </is>
      </c>
    </row>
    <row r="13" ht="85" customHeight="1">
      <c r="A13" s="4" t="inlineStr">
        <is>
          <t>P-02</t>
        </is>
      </c>
      <c r="B13" s="5" t="inlineStr">
        <is>
          <t>projects.html</t>
        </is>
      </c>
      <c r="C13" s="5" t="inlineStr">
        <is>
          <t>卡片 2</t>
        </is>
      </c>
      <c r="D13" s="5" t="inlineStr">
        <is>
          <t>计划随访完成率</t>
        </is>
      </c>
      <c r="E13" s="5" t="inlineStr">
        <is>
          <t>cards.followupCompletionRate</t>
        </is>
      </c>
      <c r="F13" s="5" t="inlineStr">
        <is>
          <t>截至今天应完成的计划访视中，实际已完成的比例（访视级）</t>
        </is>
      </c>
      <c r="G13" s="5" t="inlineStr">
        <is>
          <t>对每位患者（含已脱落者脱落前的部分）：
应完成次数 = 从「随访观察起始」到 min(今天, 脱落日期) 之间，按随访周期应发生的访视次数（含基线）= floor(间隔月数 / 周期) + 1；
已完成次数 = 同期内已提交访视次数，且每位患者不超过其应完成次数。
完成率 = Σ已完成 / Σ应完成。
注：是否设访视窗口（如 ±30 天内才算按期）待确认，一期不设窗口。</t>
        </is>
      </c>
      <c r="H13" s="5" t="inlineStr">
        <is>
          <t>0–1，页面整数百分比</t>
        </is>
      </c>
      <c r="I13" s="5" t="inlineStr">
        <is>
          <t>P01</t>
        </is>
      </c>
    </row>
    <row r="14" ht="31" customHeight="1">
      <c r="A14" s="4" t="inlineStr">
        <is>
          <t>P-03</t>
        </is>
      </c>
      <c r="B14" s="5" t="inlineStr">
        <is>
          <t>projects.html</t>
        </is>
      </c>
      <c r="C14" s="5" t="inlineStr">
        <is>
          <t>卡片 3</t>
        </is>
      </c>
      <c r="D14" s="5" t="inlineStr">
        <is>
          <t>整体数据质量</t>
        </is>
      </c>
      <c r="E14" s="5" t="inlineStr">
        <is>
          <t>cards.dataQualityRate</t>
        </is>
      </c>
      <c r="F14" s="5" t="inlineStr">
        <is>
          <t>无待处理质控问题的患者占比（与数据质控页 Q-01 同一口径）</t>
        </is>
      </c>
      <c r="G14" s="5">
        <f> (患者总数 − 存在 state∈{open, pending_confirm} 质控问题的患者数) / 患者总数</f>
        <v/>
      </c>
      <c r="H14" s="5" t="inlineStr">
        <is>
          <t>0–1，页面 1 位小数百分比</t>
        </is>
      </c>
      <c r="I14" s="5" t="inlineStr">
        <is>
          <t>P01</t>
        </is>
      </c>
    </row>
    <row r="15" ht="17.5" customHeight="1">
      <c r="A15" s="4" t="inlineStr">
        <is>
          <t>P-04</t>
        </is>
      </c>
      <c r="B15" s="5" t="inlineStr">
        <is>
          <t>projects.html</t>
        </is>
      </c>
      <c r="C15" s="5" t="inlineStr">
        <is>
          <t>卡片 4</t>
        </is>
      </c>
      <c r="D15" s="5" t="inlineStr">
        <is>
          <t>参与研究中心</t>
        </is>
      </c>
      <c r="E15" s="5" t="inlineStr">
        <is>
          <t>cards.siteCount</t>
        </is>
      </c>
      <c r="F15" s="5" t="inlineStr">
        <is>
          <t>研究库关联的启用中心数</t>
        </is>
      </c>
      <c r="G15" s="5" t="inlineStr">
        <is>
          <t>COUNT(study_site WHERE status=active)</t>
        </is>
      </c>
      <c r="H15" s="5" t="inlineStr">
        <is>
          <t>整数</t>
        </is>
      </c>
      <c r="I15" s="5" t="inlineStr">
        <is>
          <t>P01</t>
        </is>
      </c>
    </row>
    <row r="16" ht="44.5" customHeight="1">
      <c r="A16" s="4" t="inlineStr">
        <is>
          <t>P-05</t>
        </is>
      </c>
      <c r="B16" s="5" t="inlineStr">
        <is>
          <t>projects.html</t>
        </is>
      </c>
      <c r="C16" s="5" t="inlineStr">
        <is>
          <t>研究执行概览</t>
        </is>
      </c>
      <c r="D16" s="5" t="inlineStr">
        <is>
          <t>128 / 180 跟踪患者 · 71%</t>
        </is>
      </c>
      <c r="E16" s="5" t="inlineStr">
        <is>
          <t>progress.enrolledCount / targetEnrollment / enrollmentRate</t>
        </is>
      </c>
      <c r="F16" s="5" t="inlineStr">
        <is>
          <t>入组进度</t>
        </is>
      </c>
      <c r="G16" s="5" t="inlineStr">
        <is>
          <t>分子 = P-01；分母 = study.target_enrollment（后台配置）；比例 = 分子 / 分母</t>
        </is>
      </c>
      <c r="H16" s="5" t="inlineStr">
        <is>
          <t>页面整数百分比</t>
        </is>
      </c>
      <c r="I16" s="5" t="inlineStr">
        <is>
          <t>P01</t>
        </is>
      </c>
    </row>
    <row r="17" ht="31" customHeight="1">
      <c r="A17" s="4" t="inlineStr">
        <is>
          <t>P-06</t>
        </is>
      </c>
      <c r="B17" s="5" t="inlineStr">
        <is>
          <t>projects.html</t>
        </is>
      </c>
      <c r="C17" s="5" t="inlineStr">
        <is>
          <t>研究执行概览</t>
        </is>
      </c>
      <c r="D17" s="5" t="inlineStr">
        <is>
          <t>待随访患者</t>
        </is>
      </c>
      <c r="E17" s="5" t="inlineStr">
        <is>
          <t>progress.pendingFollowupCount</t>
        </is>
      </c>
      <c r="F17" s="5" t="inlineStr">
        <is>
          <t>需要尽快安排随访的患者数</t>
        </is>
      </c>
      <c r="G17" s="5">
        <f> followStatus ∈ {overdue, soon} 的患者数（即 B-03 days ≤ 14，含已逾期）</f>
        <v/>
      </c>
      <c r="H17" s="5" t="inlineStr">
        <is>
          <t>整数</t>
        </is>
      </c>
      <c r="I17" s="5" t="inlineStr">
        <is>
          <t>P01</t>
        </is>
      </c>
    </row>
    <row r="18" ht="17.5" customHeight="1">
      <c r="A18" s="4" t="inlineStr">
        <is>
          <t>P-07</t>
        </is>
      </c>
      <c r="B18" s="5" t="inlineStr">
        <is>
          <t>projects.html</t>
        </is>
      </c>
      <c r="C18" s="5" t="inlineStr">
        <is>
          <t>研究执行概览</t>
        </is>
      </c>
      <c r="D18" s="5" t="inlineStr">
        <is>
          <t>待处理质控问题</t>
        </is>
      </c>
      <c r="E18" s="5" t="inlineStr">
        <is>
          <t>progress.openQcCount</t>
        </is>
      </c>
      <c r="F18" s="5" t="inlineStr">
        <is>
          <t>未关闭的质控问题数</t>
        </is>
      </c>
      <c r="G18" s="5" t="inlineStr">
        <is>
          <t>COUNT(qc_issue WHERE state ∈ {open, pending_confirm})，与 Q-02 相同</t>
        </is>
      </c>
      <c r="H18" s="5" t="inlineStr">
        <is>
          <t>整数</t>
        </is>
      </c>
      <c r="I18" s="5" t="inlineStr">
        <is>
          <t>P01</t>
        </is>
      </c>
    </row>
    <row r="19" ht="31" customHeight="1">
      <c r="A19" s="4" t="inlineStr">
        <is>
          <t>P-08</t>
        </is>
      </c>
      <c r="B19" s="5" t="inlineStr">
        <is>
          <t>projects.html</t>
        </is>
      </c>
      <c r="C19" s="5" t="inlineStr">
        <is>
          <t>研究执行概览</t>
        </is>
      </c>
      <c r="D19" s="5" t="inlineStr">
        <is>
          <t>研究级可用记录</t>
        </is>
      </c>
      <c r="E19" s="5" t="inlineStr">
        <is>
          <t>progress.researchReadyVisitCount</t>
        </is>
      </c>
      <c r="F19" s="5" t="inlineStr">
        <is>
          <t>可直接进入统计分析的访视记录数</t>
        </is>
      </c>
      <c r="G19" s="5" t="inlineStr">
        <is>
          <t>COUNT(visit) 满足：status = submitted，且该访视没有未关闭的质控问题，且该访视必填字段齐全（必填项以 CRF 字典为准）</t>
        </is>
      </c>
      <c r="H19" s="5" t="inlineStr">
        <is>
          <t>整数</t>
        </is>
      </c>
      <c r="I19" s="5" t="inlineStr">
        <is>
          <t>P01</t>
        </is>
      </c>
    </row>
    <row r="20" ht="31" customHeight="1">
      <c r="A20" s="4" t="inlineStr">
        <is>
          <t>P-09</t>
        </is>
      </c>
      <c r="B20" s="5" t="inlineStr">
        <is>
          <t>projects.html</t>
        </is>
      </c>
      <c r="C20" s="5" t="inlineStr">
        <is>
          <t>项目基本信息</t>
        </is>
      </c>
      <c r="D20" s="5" t="inlineStr">
        <is>
          <t>研究类型 / 研究周期 / 主要数据域</t>
        </is>
      </c>
      <c r="E20" s="5" t="inlineStr">
        <is>
          <t>profile[]</t>
        </is>
      </c>
      <c r="F20" s="5" t="inlineStr">
        <is>
          <t>项目静态信息</t>
        </is>
      </c>
      <c r="G20" s="5" t="inlineStr">
        <is>
          <t>取 study 配置表，按行返回</t>
        </is>
      </c>
      <c r="H20" s="5" t="inlineStr">
        <is>
          <t>文本</t>
        </is>
      </c>
      <c r="I20" s="5" t="inlineStr">
        <is>
          <t>P01</t>
        </is>
      </c>
    </row>
    <row r="21" ht="17.5" customHeight="1">
      <c r="A21" s="4" t="inlineStr">
        <is>
          <t>D-01</t>
        </is>
      </c>
      <c r="B21" s="5" t="inlineStr">
        <is>
          <t>dashboard.html</t>
        </is>
      </c>
      <c r="C21" s="5" t="inlineStr">
        <is>
          <t>患者规模</t>
        </is>
      </c>
      <c r="D21" s="5" t="inlineStr">
        <is>
          <t>总患者数</t>
        </is>
      </c>
      <c r="E21" s="5" t="inlineStr">
        <is>
          <t>scale.total</t>
        </is>
      </c>
      <c r="F21" s="5" t="inlineStr">
        <is>
          <t>同 P-01</t>
        </is>
      </c>
      <c r="G21" s="5" t="inlineStr">
        <is>
          <t>同 P-01</t>
        </is>
      </c>
      <c r="H21" s="5" t="inlineStr">
        <is>
          <t>整数</t>
        </is>
      </c>
      <c r="I21" s="5" t="inlineStr">
        <is>
          <t>D01</t>
        </is>
      </c>
    </row>
    <row r="22" ht="17.5" customHeight="1">
      <c r="A22" s="4" t="inlineStr">
        <is>
          <t>D-02</t>
        </is>
      </c>
      <c r="B22" s="5" t="inlineStr">
        <is>
          <t>dashboard.html</t>
        </is>
      </c>
      <c r="C22" s="5" t="inlineStr">
        <is>
          <t>患者规模</t>
        </is>
      </c>
      <c r="D22" s="5" t="inlineStr">
        <is>
          <t>活跃患者数 / 占全部患者 %</t>
        </is>
      </c>
      <c r="E22" s="5" t="inlineStr">
        <is>
          <t>scale.active / activeRate</t>
        </is>
      </c>
      <c r="F22" s="5" t="inlineStr">
        <is>
          <t>近 6 个月内有随访的未脱落患者</t>
        </is>
      </c>
      <c r="G22" s="5" t="inlineStr">
        <is>
          <t>未脱落 且 最近一次已提交访视日期 ≥ 今天 − 183 天；占比 = active / total</t>
        </is>
      </c>
      <c r="H22" s="5" t="inlineStr">
        <is>
          <t>整数 / 0–1</t>
        </is>
      </c>
      <c r="I22" s="5" t="inlineStr">
        <is>
          <t>D01</t>
        </is>
      </c>
    </row>
    <row r="23" ht="17.5" customHeight="1">
      <c r="A23" s="4" t="inlineStr">
        <is>
          <t>D-03</t>
        </is>
      </c>
      <c r="B23" s="5" t="inlineStr">
        <is>
          <t>dashboard.html</t>
        </is>
      </c>
      <c r="C23" s="5" t="inlineStr">
        <is>
          <t>患者规模</t>
        </is>
      </c>
      <c r="D23" s="5" t="inlineStr">
        <is>
          <t>本月新增患者</t>
        </is>
      </c>
      <c r="E23" s="5" t="inlineStr">
        <is>
          <t>scale.newThisMonth</t>
        </is>
      </c>
      <c r="F23" s="5" t="inlineStr">
        <is>
          <t>本自然月内建档的患者</t>
        </is>
      </c>
      <c r="G23" s="5" t="inlineStr">
        <is>
          <t>patient.created_date 所在年月 = 今天所在年月</t>
        </is>
      </c>
      <c r="H23" s="5" t="inlineStr">
        <is>
          <t>整数</t>
        </is>
      </c>
      <c r="I23" s="5" t="inlineStr">
        <is>
          <t>D01</t>
        </is>
      </c>
    </row>
    <row r="24" ht="17.5" customHeight="1">
      <c r="A24" s="4" t="inlineStr">
        <is>
          <t>D-04</t>
        </is>
      </c>
      <c r="B24" s="5" t="inlineStr">
        <is>
          <t>dashboard.html</t>
        </is>
      </c>
      <c r="C24" s="5" t="inlineStr">
        <is>
          <t>患者规模</t>
        </is>
      </c>
      <c r="D24" s="5" t="inlineStr">
        <is>
          <t>已脱落 / 失访</t>
        </is>
      </c>
      <c r="E24" s="5" t="inlineStr">
        <is>
          <t>scale.withdrawn</t>
        </is>
      </c>
      <c r="F24" s="5" t="inlineStr">
        <is>
          <t>已标记脱落的患者</t>
        </is>
      </c>
      <c r="G24" s="5" t="inlineStr">
        <is>
          <t>COUNT(patient WHERE withdrawn = true)</t>
        </is>
      </c>
      <c r="H24" s="5" t="inlineStr">
        <is>
          <t>整数</t>
        </is>
      </c>
      <c r="I24" s="5" t="inlineStr">
        <is>
          <t>D01</t>
        </is>
      </c>
    </row>
    <row r="25" ht="17.5" customHeight="1">
      <c r="A25" s="4" t="inlineStr">
        <is>
          <t>D-05</t>
        </is>
      </c>
      <c r="B25" s="5" t="inlineStr">
        <is>
          <t>dashboard.html</t>
        </is>
      </c>
      <c r="C25" s="5" t="inlineStr">
        <is>
          <t>随访管理</t>
        </is>
      </c>
      <c r="D25" s="5" t="inlineStr">
        <is>
          <t>已逾期</t>
        </is>
      </c>
      <c r="E25" s="5" t="inlineStr">
        <is>
          <t>followup.overdue</t>
        </is>
      </c>
      <c r="F25" s="5" t="inlineStr">
        <is>
          <t>随访计划已过期</t>
        </is>
      </c>
      <c r="G25" s="5" t="inlineStr">
        <is>
          <t>B-03 status = overdue 的人数</t>
        </is>
      </c>
      <c r="H25" s="5" t="inlineStr">
        <is>
          <t>整数</t>
        </is>
      </c>
      <c r="I25" s="5" t="inlineStr">
        <is>
          <t>D01</t>
        </is>
      </c>
    </row>
    <row r="26" ht="17.5" customHeight="1">
      <c r="A26" s="4" t="inlineStr">
        <is>
          <t>D-06</t>
        </is>
      </c>
      <c r="B26" s="5" t="inlineStr">
        <is>
          <t>dashboard.html</t>
        </is>
      </c>
      <c r="C26" s="5" t="inlineStr">
        <is>
          <t>随访管理</t>
        </is>
      </c>
      <c r="D26" s="5" t="inlineStr">
        <is>
          <t>7 日内待随访</t>
        </is>
      </c>
      <c r="E26" s="5" t="inlineStr">
        <is>
          <t>followup.due7</t>
        </is>
      </c>
      <c r="F26" s="5" t="inlineStr"/>
      <c r="G26" s="5" t="inlineStr">
        <is>
          <t>0 ≤ days ≤ 7 的人数（不含已逾期）</t>
        </is>
      </c>
      <c r="H26" s="5" t="inlineStr">
        <is>
          <t>整数</t>
        </is>
      </c>
      <c r="I26" s="5" t="inlineStr">
        <is>
          <t>D01</t>
        </is>
      </c>
    </row>
    <row r="27" ht="17.5" customHeight="1">
      <c r="A27" s="4" t="inlineStr">
        <is>
          <t>D-07</t>
        </is>
      </c>
      <c r="B27" s="5" t="inlineStr">
        <is>
          <t>dashboard.html</t>
        </is>
      </c>
      <c r="C27" s="5" t="inlineStr">
        <is>
          <t>随访管理</t>
        </is>
      </c>
      <c r="D27" s="5" t="inlineStr">
        <is>
          <t>30 日内待随访</t>
        </is>
      </c>
      <c r="E27" s="5" t="inlineStr">
        <is>
          <t>followup.due30</t>
        </is>
      </c>
      <c r="F27" s="5" t="inlineStr"/>
      <c r="G27" s="5" t="inlineStr">
        <is>
          <t>0 ≤ days ≤ 30 的人数（含 7 日内，不含已逾期）</t>
        </is>
      </c>
      <c r="H27" s="5" t="inlineStr">
        <is>
          <t>整数</t>
        </is>
      </c>
      <c r="I27" s="5" t="inlineStr">
        <is>
          <t>D01</t>
        </is>
      </c>
    </row>
    <row r="28" ht="31" customHeight="1">
      <c r="A28" s="4" t="inlineStr">
        <is>
          <t>D-08</t>
        </is>
      </c>
      <c r="B28" s="5" t="inlineStr">
        <is>
          <t>dashboard.html</t>
        </is>
      </c>
      <c r="C28" s="5" t="inlineStr">
        <is>
          <t>随访管理</t>
        </is>
      </c>
      <c r="D28" s="5" t="inlineStr">
        <is>
          <t>按期随访率 / N 项随访计划</t>
        </is>
      </c>
      <c r="E28" s="5" t="inlineStr">
        <is>
          <t>followup.onTimeRate / planCount</t>
        </is>
      </c>
      <c r="F28" s="5" t="inlineStr">
        <is>
          <t>有随访计划的患者中未逾期的比例（与随访管理页 F-04 同一口径）</t>
        </is>
      </c>
      <c r="G28" s="5" t="inlineStr">
        <is>
          <t>planCount = 满足 B-03 条件的患者数；onTimeRate = (planCount − overdue) / planCount</t>
        </is>
      </c>
      <c r="H28" s="5" t="inlineStr">
        <is>
          <t>0–1</t>
        </is>
      </c>
      <c r="I28" s="5" t="inlineStr">
        <is>
          <t>D01 F01</t>
        </is>
      </c>
    </row>
    <row r="29" ht="17.5" customHeight="1">
      <c r="A29" s="4" t="inlineStr">
        <is>
          <t>D-09</t>
        </is>
      </c>
      <c r="B29" s="5" t="inlineStr">
        <is>
          <t>dashboard.html</t>
        </is>
      </c>
      <c r="C29" s="5" t="inlineStr">
        <is>
          <t>需关注患者</t>
        </is>
      </c>
      <c r="D29" s="5" t="inlineStr">
        <is>
          <t>N 人未达标（中高疾病活动）</t>
        </is>
      </c>
      <c r="E29" s="5" t="inlineStr">
        <is>
          <t>attention.notAtTarget</t>
        </is>
      </c>
      <c r="F29" s="5" t="inlineStr">
        <is>
          <t>最近一次 DAS28 &gt; 3.2</t>
        </is>
      </c>
      <c r="G29" s="5" t="inlineStr">
        <is>
          <t>B-05 最近一次 DAS28 &gt; 3.2 的人数（同一患者可计入多项）</t>
        </is>
      </c>
      <c r="H29" s="5" t="inlineStr">
        <is>
          <t>整数</t>
        </is>
      </c>
      <c r="I29" s="5" t="inlineStr">
        <is>
          <t>D01</t>
        </is>
      </c>
    </row>
    <row r="30" ht="17.5" customHeight="1">
      <c r="A30" s="4" t="inlineStr">
        <is>
          <t>D-10</t>
        </is>
      </c>
      <c r="B30" s="5" t="inlineStr">
        <is>
          <t>dashboard.html</t>
        </is>
      </c>
      <c r="C30" s="5" t="inlineStr">
        <is>
          <t>需关注患者</t>
        </is>
      </c>
      <c r="D30" s="5" t="inlineStr">
        <is>
          <t>炎症指标升高（CRP &gt; 10）</t>
        </is>
      </c>
      <c r="E30" s="5" t="inlineStr">
        <is>
          <t>attention.highCrp</t>
        </is>
      </c>
      <c r="F30" s="5" t="inlineStr">
        <is>
          <t>最近一次 CRP &gt; 10 mg/L</t>
        </is>
      </c>
      <c r="G30" s="5" t="inlineStr">
        <is>
          <t>每位患者最近一次有 CRP 的已提交访视，LAB.crp &gt; 10</t>
        </is>
      </c>
      <c r="H30" s="5" t="inlineStr">
        <is>
          <t>整数</t>
        </is>
      </c>
      <c r="I30" s="5" t="inlineStr">
        <is>
          <t>D01</t>
        </is>
      </c>
    </row>
    <row r="31" ht="17.5" customHeight="1">
      <c r="A31" s="4" t="inlineStr">
        <is>
          <t>D-11</t>
        </is>
      </c>
      <c r="B31" s="5" t="inlineStr">
        <is>
          <t>dashboard.html</t>
        </is>
      </c>
      <c r="C31" s="5" t="inlineStr">
        <is>
          <t>需关注患者</t>
        </is>
      </c>
      <c r="D31" s="5" t="inlineStr">
        <is>
          <t>高疾病活动（DAS28 &gt; 5.1）</t>
        </is>
      </c>
      <c r="E31" s="5" t="inlineStr">
        <is>
          <t>attention.highActivity</t>
        </is>
      </c>
      <c r="F31" s="5" t="inlineStr"/>
      <c r="G31" s="5" t="inlineStr">
        <is>
          <t>B-05 最近一次 DAS28 &gt; 5.1 的人数</t>
        </is>
      </c>
      <c r="H31" s="5" t="inlineStr">
        <is>
          <t>整数</t>
        </is>
      </c>
      <c r="I31" s="5" t="inlineStr">
        <is>
          <t>D01</t>
        </is>
      </c>
    </row>
    <row r="32" ht="17.5" customHeight="1">
      <c r="A32" s="4" t="inlineStr">
        <is>
          <t>D-12</t>
        </is>
      </c>
      <c r="B32" s="5" t="inlineStr">
        <is>
          <t>dashboard.html</t>
        </is>
      </c>
      <c r="C32" s="5" t="inlineStr">
        <is>
          <t>需关注患者</t>
        </is>
      </c>
      <c r="D32" s="5" t="inlineStr">
        <is>
          <t>合并 FM · 评分需复核</t>
        </is>
      </c>
      <c r="E32" s="5" t="inlineStr">
        <is>
          <t>attention.fmComorbid</t>
        </is>
      </c>
      <c r="F32" s="5" t="inlineStr">
        <is>
          <t>其他病史含 FM 的患者</t>
        </is>
      </c>
      <c r="G32" s="5" t="inlineStr">
        <is>
          <t>COUNT(patient_comorbidity WHERE disease = FM) 去重患者</t>
        </is>
      </c>
      <c r="H32" s="5" t="inlineStr">
        <is>
          <t>整数</t>
        </is>
      </c>
      <c r="I32" s="5" t="inlineStr">
        <is>
          <t>D01</t>
        </is>
      </c>
    </row>
    <row r="33" ht="31" customHeight="1">
      <c r="A33" s="4" t="inlineStr">
        <is>
          <t>D-13</t>
        </is>
      </c>
      <c r="B33" s="5" t="inlineStr">
        <is>
          <t>dashboard.html</t>
        </is>
      </c>
      <c r="C33" s="5" t="inlineStr">
        <is>
          <t>疾病活动度 · DAS28</t>
        </is>
      </c>
      <c r="D33" s="5" t="inlineStr">
        <is>
          <t>4 档人数与占比 / 达标率</t>
        </is>
      </c>
      <c r="E33" s="5" t="inlineStr">
        <is>
          <t>das28.dist[] / evaluable / targetRate</t>
        </is>
      </c>
      <c r="F33" s="5" t="inlineStr">
        <is>
          <t>最近一次 DAS28 分布</t>
        </is>
      </c>
      <c r="G33" s="5" t="inlineStr">
        <is>
          <t>evaluable = 有最近一次 DAS28 的人数；各档按 B-06 分级计数；rate = count / evaluable；targetRate = (remission + low) / evaluable</t>
        </is>
      </c>
      <c r="H33" s="5" t="inlineStr">
        <is>
          <t>整数 / 0–1</t>
        </is>
      </c>
      <c r="I33" s="5" t="inlineStr">
        <is>
          <t>D01</t>
        </is>
      </c>
    </row>
    <row r="34" ht="31" customHeight="1">
      <c r="A34" s="4" t="inlineStr">
        <is>
          <t>D-14</t>
        </is>
      </c>
      <c r="B34" s="5" t="inlineStr">
        <is>
          <t>dashboard.html</t>
        </is>
      </c>
      <c r="C34" s="5" t="inlineStr">
        <is>
          <t>数据质量</t>
        </is>
      </c>
      <c r="D34" s="5" t="inlineStr">
        <is>
          <t>患者资料完整率</t>
        </is>
      </c>
      <c r="E34" s="5" t="inlineStr">
        <is>
          <t>quality.completeRate</t>
        </is>
      </c>
      <c r="F34" s="5" t="inlineStr">
        <is>
          <t>资料完整的患者占比</t>
        </is>
      </c>
      <c r="G34" s="5">
        <f> (total − incomplete 人数) / total，incomplete 见 B-07</f>
        <v/>
      </c>
      <c r="H34" s="5" t="inlineStr">
        <is>
          <t>0–1，页面整数百分比</t>
        </is>
      </c>
      <c r="I34" s="5" t="inlineStr">
        <is>
          <t>D01</t>
        </is>
      </c>
    </row>
    <row r="35" ht="31" customHeight="1">
      <c r="A35" s="4" t="inlineStr">
        <is>
          <t>D-15</t>
        </is>
      </c>
      <c r="B35" s="5" t="inlineStr">
        <is>
          <t>dashboard.html</t>
        </is>
      </c>
      <c r="C35" s="5" t="inlineStr">
        <is>
          <t>数据质量</t>
        </is>
      </c>
      <c r="D35" s="5" t="inlineStr">
        <is>
          <t>缺 DAS28 评分 / 缺基线检验 / 缺合并疾病记录 / 缺用药史</t>
        </is>
      </c>
      <c r="E35" s="5" t="inlineStr">
        <is>
          <t>quality.missing[]</t>
        </is>
      </c>
      <c r="F35" s="5" t="inlineStr">
        <is>
          <t>各缺失规则涉及的患者数</t>
        </is>
      </c>
      <c r="G35" s="5" t="inlineStr">
        <is>
          <t>按规则 QC-M01 ~ QC-M04 分别统计未关闭问题的去重患者数（同一患者可计入多项）</t>
        </is>
      </c>
      <c r="H35" s="5" t="inlineStr">
        <is>
          <t>整数</t>
        </is>
      </c>
      <c r="I35" s="5" t="inlineStr">
        <is>
          <t>D01</t>
        </is>
      </c>
    </row>
    <row r="36" ht="17.5" customHeight="1">
      <c r="A36" s="4" t="inlineStr">
        <is>
          <t>D-16</t>
        </is>
      </c>
      <c r="B36" s="5" t="inlineStr">
        <is>
          <t>dashboard.html</t>
        </is>
      </c>
      <c r="C36" s="5" t="inlineStr">
        <is>
          <t>研究数据</t>
        </is>
      </c>
      <c r="D36" s="5" t="inlineStr">
        <is>
          <t>有效研究样本数</t>
        </is>
      </c>
      <c r="E36" s="5" t="inlineStr">
        <is>
          <t>research.validSample</t>
        </is>
      </c>
      <c r="F36" s="5" t="inlineStr">
        <is>
          <t>可用于分析的患者</t>
        </is>
      </c>
      <c r="G36" s="5" t="inlineStr">
        <is>
          <t>未脱落 且 已提交访视 ≥ 1 且 资料完整（B-07）</t>
        </is>
      </c>
      <c r="H36" s="5" t="inlineStr">
        <is>
          <t>整数</t>
        </is>
      </c>
      <c r="I36" s="5" t="inlineStr">
        <is>
          <t>D01</t>
        </is>
      </c>
    </row>
    <row r="37" ht="17.5" customHeight="1">
      <c r="A37" s="4" t="inlineStr">
        <is>
          <t>D-17</t>
        </is>
      </c>
      <c r="B37" s="5" t="inlineStr">
        <is>
          <t>dashboard.html</t>
        </is>
      </c>
      <c r="C37" s="5" t="inlineStr">
        <is>
          <t>研究数据</t>
        </is>
      </c>
      <c r="D37" s="5" t="inlineStr">
        <is>
          <t>累计完成访视</t>
        </is>
      </c>
      <c r="E37" s="5" t="inlineStr">
        <is>
          <t>research.totalVisits</t>
        </is>
      </c>
      <c r="F37" s="5" t="inlineStr"/>
      <c r="G37" s="5" t="inlineStr">
        <is>
          <t>COUNT(visit WHERE status = submitted)</t>
        </is>
      </c>
      <c r="H37" s="5" t="inlineStr">
        <is>
          <t>整数</t>
        </is>
      </c>
      <c r="I37" s="5" t="inlineStr">
        <is>
          <t>D01</t>
        </is>
      </c>
    </row>
    <row r="38" ht="31" customHeight="1">
      <c r="A38" s="4" t="inlineStr">
        <is>
          <t>D-18</t>
        </is>
      </c>
      <c r="B38" s="5" t="inlineStr">
        <is>
          <t>dashboard.html</t>
        </is>
      </c>
      <c r="C38" s="5" t="inlineStr">
        <is>
          <t>研究数据</t>
        </is>
      </c>
      <c r="D38" s="5" t="inlineStr">
        <is>
          <t>当前方案持续 ≥ 12 个月</t>
        </is>
      </c>
      <c r="E38" s="5" t="inlineStr">
        <is>
          <t>research.regimen12m</t>
        </is>
      </c>
      <c r="F38" s="5" t="inlineStr">
        <is>
          <t>当前治疗方案已持续 12 个月以上</t>
        </is>
      </c>
      <c r="G38" s="5" t="inlineStr">
        <is>
          <t>取最近一次访视用药明细中主要 DMARD（csDMARD / bDMARD / tsDMARD）的起始日期 TRT.med.start_date，今天 − 起始日期 ≥ 12 个月；方案判定规则待医学确认</t>
        </is>
      </c>
      <c r="H38" s="5" t="inlineStr">
        <is>
          <t>整数</t>
        </is>
      </c>
      <c r="I38" s="5" t="inlineStr">
        <is>
          <t>D01</t>
        </is>
      </c>
    </row>
    <row r="39" ht="17.5" customHeight="1">
      <c r="A39" s="4" t="inlineStr">
        <is>
          <t>D-19</t>
        </is>
      </c>
      <c r="B39" s="5" t="inlineStr">
        <is>
          <t>dashboard.html</t>
        </is>
      </c>
      <c r="C39" s="5" t="inlineStr">
        <is>
          <t>研究数据</t>
        </is>
      </c>
      <c r="D39" s="5" t="inlineStr">
        <is>
          <t>近 90 天有随访</t>
        </is>
      </c>
      <c r="E39" s="5" t="inlineStr">
        <is>
          <t>research.visited90d</t>
        </is>
      </c>
      <c r="F39" s="5" t="inlineStr"/>
      <c r="G39" s="5" t="inlineStr">
        <is>
          <t>最近一次已提交访视日期 ≥ 今天 − 90 天</t>
        </is>
      </c>
      <c r="H39" s="5" t="inlineStr">
        <is>
          <t>整数</t>
        </is>
      </c>
      <c r="I39" s="5" t="inlineStr">
        <is>
          <t>D01</t>
        </is>
      </c>
    </row>
    <row r="40" ht="17.5" customHeight="1">
      <c r="A40" s="4" t="inlineStr">
        <is>
          <t>D-20</t>
        </is>
      </c>
      <c r="B40" s="5" t="inlineStr">
        <is>
          <t>dashboard.html</t>
        </is>
      </c>
      <c r="C40" s="5" t="inlineStr">
        <is>
          <t>风险提醒</t>
        </is>
      </c>
      <c r="D40" s="5" t="inlineStr">
        <is>
          <t>3 张卡片人数</t>
        </is>
      </c>
      <c r="E40" s="5" t="inlineStr">
        <is>
          <t>risks[].count</t>
        </is>
      </c>
      <c r="F40" s="5" t="inlineStr">
        <is>
          <t>见 D-21 ~ D-23</t>
        </is>
      </c>
      <c r="G40" s="5" t="inlineStr">
        <is>
          <t>各类型名单总数</t>
        </is>
      </c>
      <c r="H40" s="5" t="inlineStr">
        <is>
          <t>整数</t>
        </is>
      </c>
      <c r="I40" s="5" t="inlineStr">
        <is>
          <t>D01</t>
        </is>
      </c>
    </row>
    <row r="41" ht="31" customHeight="1">
      <c r="A41" s="4" t="inlineStr">
        <is>
          <t>D-21</t>
        </is>
      </c>
      <c r="B41" s="5" t="inlineStr">
        <is>
          <t>dashboard.html</t>
        </is>
      </c>
      <c r="C41" s="5" t="inlineStr">
        <is>
          <t>风险提醒</t>
        </is>
      </c>
      <c r="D41" s="5" t="inlineStr">
        <is>
          <t>疾病活动度回升</t>
        </is>
      </c>
      <c r="E41" s="5" t="inlineStr">
        <is>
          <t>activity_rebound</t>
        </is>
      </c>
      <c r="F41" s="5" t="inlineStr">
        <is>
          <t>治疗 6 个月后 DAS28 回升</t>
        </is>
      </c>
      <c r="G41" s="5" t="inlineStr">
        <is>
          <t>当前方案起始后第 6 个月（±30 天内最近的一次访视）的 DAS28 记为 das28Prev；最近一次 DAS28 − das28Prev ≥ 0.6</t>
        </is>
      </c>
      <c r="H41" s="5" t="inlineStr">
        <is>
          <t>整数</t>
        </is>
      </c>
      <c r="I41" s="5" t="inlineStr">
        <is>
          <t>D01 D02</t>
        </is>
      </c>
    </row>
    <row r="42" ht="17.5" customHeight="1">
      <c r="A42" s="4" t="inlineStr">
        <is>
          <t>D-22</t>
        </is>
      </c>
      <c r="B42" s="5" t="inlineStr">
        <is>
          <t>dashboard.html</t>
        </is>
      </c>
      <c r="C42" s="5" t="inlineStr">
        <is>
          <t>风险提醒</t>
        </is>
      </c>
      <c r="D42" s="5" t="inlineStr">
        <is>
          <t>高疾病活动</t>
        </is>
      </c>
      <c r="E42" s="5" t="inlineStr">
        <is>
          <t>high_activity</t>
        </is>
      </c>
      <c r="F42" s="5" t="inlineStr">
        <is>
          <t>最近一次 DAS28 &gt; 5.1</t>
        </is>
      </c>
      <c r="G42" s="5" t="inlineStr">
        <is>
          <t>同 D-11</t>
        </is>
      </c>
      <c r="H42" s="5" t="inlineStr">
        <is>
          <t>整数</t>
        </is>
      </c>
      <c r="I42" s="5" t="inlineStr">
        <is>
          <t>D01 D02</t>
        </is>
      </c>
    </row>
    <row r="43" ht="17.5" customHeight="1">
      <c r="A43" s="4" t="inlineStr">
        <is>
          <t>D-23</t>
        </is>
      </c>
      <c r="B43" s="5" t="inlineStr">
        <is>
          <t>dashboard.html</t>
        </is>
      </c>
      <c r="C43" s="5" t="inlineStr">
        <is>
          <t>风险提醒</t>
        </is>
      </c>
      <c r="D43" s="5" t="inlineStr">
        <is>
          <t>随访逾期超 3 个月</t>
        </is>
      </c>
      <c r="E43" s="5" t="inlineStr">
        <is>
          <t>overdue_90</t>
        </is>
      </c>
      <c r="F43" s="5" t="inlineStr">
        <is>
          <t>逾期超过 90 天</t>
        </is>
      </c>
      <c r="G43" s="5" t="inlineStr">
        <is>
          <t>B-03 days &lt; −90</t>
        </is>
      </c>
      <c r="H43" s="5" t="inlineStr">
        <is>
          <t>整数</t>
        </is>
      </c>
      <c r="I43" s="5" t="inlineStr">
        <is>
          <t>D01 D02</t>
        </is>
      </c>
    </row>
    <row r="44" ht="31" customHeight="1">
      <c r="A44" s="4" t="inlineStr">
        <is>
          <t>D-24</t>
        </is>
      </c>
      <c r="B44" s="5" t="inlineStr">
        <is>
          <t>dashboard.html</t>
        </is>
      </c>
      <c r="C44" s="5" t="inlineStr">
        <is>
          <t>近期动态</t>
        </is>
      </c>
      <c r="D44" s="5" t="inlineStr">
        <is>
          <t>最近炎症指标偏高 / 最近完成随访</t>
        </is>
      </c>
      <c r="E44" s="5" t="inlineStr">
        <is>
          <t>recentHighCrp[] / recentVisits[]</t>
        </is>
      </c>
      <c r="F44" s="5" t="inlineStr">
        <is>
          <t>各取 5 条</t>
        </is>
      </c>
      <c r="G44" s="5" t="inlineStr">
        <is>
          <t>recentHighCrp：最近一次访视 CRP &gt; 20 mg/L 的患者，按访视日期倒序前 5；recentVisits：已提交访视按访视日期倒序前 5（每位患者只取最新一次）</t>
        </is>
      </c>
      <c r="H44" s="5" t="inlineStr">
        <is>
          <t>列表</t>
        </is>
      </c>
      <c r="I44" s="5" t="inlineStr">
        <is>
          <t>D01</t>
        </is>
      </c>
    </row>
    <row r="45" ht="17.5" customHeight="1">
      <c r="A45" s="4" t="inlineStr">
        <is>
          <t>PT-01</t>
        </is>
      </c>
      <c r="B45" s="5" t="inlineStr">
        <is>
          <t>patients.html</t>
        </is>
      </c>
      <c r="C45" s="5" t="inlineStr">
        <is>
          <t>页头</t>
        </is>
      </c>
      <c r="D45" s="5" t="inlineStr">
        <is>
          <t>共 N 位患者已建档</t>
        </is>
      </c>
      <c r="E45" s="5" t="inlineStr">
        <is>
          <t>summary.totalPatients</t>
        </is>
      </c>
      <c r="F45" s="5" t="inlineStr">
        <is>
          <t>同 P-01</t>
        </is>
      </c>
      <c r="G45" s="5" t="inlineStr">
        <is>
          <t>不受筛选影响</t>
        </is>
      </c>
      <c r="H45" s="5" t="inlineStr">
        <is>
          <t>整数</t>
        </is>
      </c>
      <c r="I45" s="5" t="inlineStr">
        <is>
          <t>PT01</t>
        </is>
      </c>
    </row>
    <row r="46" ht="31" customHeight="1">
      <c r="A46" s="4" t="inlineStr">
        <is>
          <t>PT-02</t>
        </is>
      </c>
      <c r="B46" s="5" t="inlineStr">
        <is>
          <t>patients.html</t>
        </is>
      </c>
      <c r="C46" s="5" t="inlineStr">
        <is>
          <t>页头</t>
        </is>
      </c>
      <c r="D46" s="5" t="inlineStr">
        <is>
          <t>N 位资料待补全</t>
        </is>
      </c>
      <c r="E46" s="5" t="inlineStr">
        <is>
          <t>summary.incompleteCount</t>
        </is>
      </c>
      <c r="F46" s="5" t="inlineStr">
        <is>
          <t>incomplete = true 的人数（B-07）</t>
        </is>
      </c>
      <c r="G46" s="5" t="inlineStr">
        <is>
          <t>不受筛选影响；点击数字按 completeness=missing 筛选</t>
        </is>
      </c>
      <c r="H46" s="5" t="inlineStr">
        <is>
          <t>整数</t>
        </is>
      </c>
      <c r="I46" s="5" t="inlineStr">
        <is>
          <t>PT01</t>
        </is>
      </c>
    </row>
    <row r="47" ht="31" customHeight="1">
      <c r="A47" s="4" t="inlineStr">
        <is>
          <t>PT-03</t>
        </is>
      </c>
      <c r="B47" s="5" t="inlineStr">
        <is>
          <t>patients.html</t>
        </is>
      </c>
      <c r="C47" s="5" t="inlineStr">
        <is>
          <t>筛选 · 随访状态</t>
        </is>
      </c>
      <c r="D47" s="5" t="inlineStr">
        <is>
          <t>随访中 / 近期需随访 / 待首次随访 / 已脱落</t>
        </is>
      </c>
      <c r="E47" s="5" t="inlineStr">
        <is>
          <t>followStatus</t>
        </is>
      </c>
      <c r="F47" s="5" t="inlineStr">
        <is>
          <t>按 B-04 状态筛选</t>
        </is>
      </c>
      <c r="G47" s="5" t="inlineStr">
        <is>
          <t>前端下拉目前没有「随访逾期」选项，建议补上（见待确认表）</t>
        </is>
      </c>
      <c r="H47" s="5" t="inlineStr">
        <is>
          <t>枚举</t>
        </is>
      </c>
      <c r="I47" s="5" t="inlineStr">
        <is>
          <t>PT01</t>
        </is>
      </c>
    </row>
    <row r="48" ht="31" customHeight="1">
      <c r="A48" s="4" t="inlineStr">
        <is>
          <t>PT-04</t>
        </is>
      </c>
      <c r="B48" s="5" t="inlineStr">
        <is>
          <t>patients.html</t>
        </is>
      </c>
      <c r="C48" s="5" t="inlineStr">
        <is>
          <t>筛选 · 数据完整性</t>
        </is>
      </c>
      <c r="D48" s="5" t="inlineStr">
        <is>
          <t>数据完整 / 数据缺失</t>
        </is>
      </c>
      <c r="E48" s="5" t="inlineStr">
        <is>
          <t>completeness</t>
        </is>
      </c>
      <c r="F48" s="5" t="inlineStr">
        <is>
          <t>按 B-07 筛选</t>
        </is>
      </c>
      <c r="G48" s="5" t="inlineStr">
        <is>
          <t>complete = incomplete=false；missing = incomplete=true</t>
        </is>
      </c>
      <c r="H48" s="5" t="inlineStr">
        <is>
          <t>枚举</t>
        </is>
      </c>
      <c r="I48" s="5" t="inlineStr">
        <is>
          <t>PT01</t>
        </is>
      </c>
    </row>
    <row r="49" ht="17.5" customHeight="1">
      <c r="A49" s="4" t="inlineStr">
        <is>
          <t>PT-05</t>
        </is>
      </c>
      <c r="B49" s="5" t="inlineStr">
        <is>
          <t>patients.html</t>
        </is>
      </c>
      <c r="C49" s="5" t="inlineStr">
        <is>
          <t>列表 · 研究信息</t>
        </is>
      </c>
      <c r="D49" s="5" t="inlineStr">
        <is>
          <t>已随访 N 次 · 每 N 个月</t>
        </is>
      </c>
      <c r="E49" s="5" t="inlineStr">
        <is>
          <t>visitCount / followCycle</t>
        </is>
      </c>
      <c r="F49" s="5" t="inlineStr"/>
      <c r="G49" s="5" t="inlineStr">
        <is>
          <t>visitCount = 已提交访视数</t>
        </is>
      </c>
      <c r="H49" s="5" t="inlineStr">
        <is>
          <t>整数</t>
        </is>
      </c>
      <c r="I49" s="5" t="inlineStr">
        <is>
          <t>PT01</t>
        </is>
      </c>
    </row>
    <row r="50" ht="17.5" customHeight="1">
      <c r="A50" s="4" t="inlineStr">
        <is>
          <t>PT-06</t>
        </is>
      </c>
      <c r="B50" s="5" t="inlineStr">
        <is>
          <t>patients.html</t>
        </is>
      </c>
      <c r="C50" s="5" t="inlineStr">
        <is>
          <t>列表 · 疾病资料</t>
        </is>
      </c>
      <c r="D50" s="5" t="inlineStr">
        <is>
          <t>分型 / DAS28</t>
        </is>
      </c>
      <c r="E50" s="5" t="inlineStr">
        <is>
          <t>subtype / latestDas28</t>
        </is>
      </c>
      <c r="F50" s="5" t="inlineStr"/>
      <c r="G50" s="5" t="inlineStr">
        <is>
          <t>subtype 来源待确认；latestDas28 见 B-05</t>
        </is>
      </c>
      <c r="H50" s="5" t="inlineStr">
        <is>
          <t>—</t>
        </is>
      </c>
      <c r="I50" s="5" t="inlineStr">
        <is>
          <t>PT01</t>
        </is>
      </c>
    </row>
    <row r="51" ht="17.5" customHeight="1">
      <c r="A51" s="4" t="inlineStr">
        <is>
          <t>PT-07</t>
        </is>
      </c>
      <c r="B51" s="5" t="inlineStr">
        <is>
          <t>patients.html</t>
        </is>
      </c>
      <c r="C51" s="5" t="inlineStr">
        <is>
          <t>列表 · 最近随访</t>
        </is>
      </c>
      <c r="D51" s="5" t="inlineStr">
        <is>
          <t>日期 / 累计 N 次访视</t>
        </is>
      </c>
      <c r="E51" s="5" t="inlineStr">
        <is>
          <t>lastVisitDate / visitCount</t>
        </is>
      </c>
      <c r="F51" s="5" t="inlineStr"/>
      <c r="G51" s="5" t="inlineStr">
        <is>
          <t>最近一次已提交访视日期</t>
        </is>
      </c>
      <c r="H51" s="5" t="inlineStr">
        <is>
          <t>日期</t>
        </is>
      </c>
      <c r="I51" s="5" t="inlineStr">
        <is>
          <t>PT01</t>
        </is>
      </c>
    </row>
    <row r="52" ht="31" customHeight="1">
      <c r="A52" s="4" t="inlineStr">
        <is>
          <t>PT-08</t>
        </is>
      </c>
      <c r="B52" s="5" t="inlineStr">
        <is>
          <t>patients.html</t>
        </is>
      </c>
      <c r="C52" s="5" t="inlineStr">
        <is>
          <t>列表 · 随访状态</t>
        </is>
      </c>
      <c r="D52" s="5" t="inlineStr">
        <is>
          <t>状态标签</t>
        </is>
      </c>
      <c r="E52" s="5" t="inlineStr">
        <is>
          <t>followStatus / followStatusLabel</t>
        </is>
      </c>
      <c r="F52" s="5" t="inlineStr"/>
      <c r="G52" s="5" t="inlineStr">
        <is>
          <t>见 B-04</t>
        </is>
      </c>
      <c r="H52" s="5" t="inlineStr">
        <is>
          <t>枚举</t>
        </is>
      </c>
      <c r="I52" s="5" t="inlineStr">
        <is>
          <t>PT01</t>
        </is>
      </c>
    </row>
    <row r="53" ht="17.5" customHeight="1">
      <c r="A53" s="4" t="inlineStr">
        <is>
          <t>PT-09</t>
        </is>
      </c>
      <c r="B53" s="5" t="inlineStr">
        <is>
          <t>patients.html</t>
        </is>
      </c>
      <c r="C53" s="5" t="inlineStr">
        <is>
          <t>数据导出</t>
        </is>
      </c>
      <c r="D53" s="5" t="inlineStr">
        <is>
          <t>导出范围</t>
        </is>
      </c>
      <c r="E53" s="5" t="inlineStr">
        <is>
          <t>—</t>
        </is>
      </c>
      <c r="F53" s="5" t="inlineStr">
        <is>
          <t>导出哪些患者</t>
        </is>
      </c>
      <c r="G53" s="5" t="inlineStr">
        <is>
          <t>勾选了患者 → 只导出所选；未勾选 → 导出当前筛选结果（全部页，不只当前页）</t>
        </is>
      </c>
      <c r="H53" s="5" t="inlineStr">
        <is>
          <t>—</t>
        </is>
      </c>
      <c r="I53" s="5" t="inlineStr">
        <is>
          <t>PT03</t>
        </is>
      </c>
    </row>
    <row r="54" ht="31" customHeight="1">
      <c r="A54" s="4" t="inlineStr">
        <is>
          <t>PT-10</t>
        </is>
      </c>
      <c r="B54" s="5" t="inlineStr">
        <is>
          <t>patient-visits.html</t>
        </is>
      </c>
      <c r="C54" s="5" t="inlineStr">
        <is>
          <t>基本信息</t>
        </is>
      </c>
      <c r="D54" s="5" t="inlineStr">
        <is>
          <t>随访周期 · 下次 YYYY-MM-DD · 已逾期 N 天 / N 天后</t>
        </is>
      </c>
      <c r="E54" s="5" t="inlineStr">
        <is>
          <t>followCycle / nextFollowup</t>
        </is>
      </c>
      <c r="F54" s="5" t="inlineStr"/>
      <c r="G54" s="5" t="inlineStr">
        <is>
          <t>见 B-03；days &lt; 0 显示「已逾期 N 天」，0–14 显示「N 天后」，&gt;14 只显示日期</t>
        </is>
      </c>
      <c r="H54" s="5" t="inlineStr">
        <is>
          <t>—</t>
        </is>
      </c>
      <c r="I54" s="5" t="inlineStr">
        <is>
          <t>PT06</t>
        </is>
      </c>
    </row>
    <row r="55" ht="31" customHeight="1">
      <c r="A55" s="4" t="inlineStr">
        <is>
          <t>PT-11</t>
        </is>
      </c>
      <c r="B55" s="5" t="inlineStr">
        <is>
          <t>patient-visits.html</t>
        </is>
      </c>
      <c r="C55" s="5" t="inlineStr">
        <is>
          <t>基本信息</t>
        </is>
      </c>
      <c r="D55" s="5" t="inlineStr">
        <is>
          <t>BMI</t>
        </is>
      </c>
      <c r="E55" s="5" t="inlineStr">
        <is>
          <t>bmi</t>
        </is>
      </c>
      <c r="F55" s="5" t="inlineStr"/>
      <c r="G55" s="5" t="inlineStr">
        <is>
          <t>体重 kg ÷ (身高 m)²；任一缺失为 null</t>
        </is>
      </c>
      <c r="H55" s="5" t="inlineStr">
        <is>
          <t>1 位小数</t>
        </is>
      </c>
      <c r="I55" s="5" t="inlineStr">
        <is>
          <t>PT06</t>
        </is>
      </c>
    </row>
    <row r="56" ht="17.5" customHeight="1">
      <c r="A56" s="4" t="inlineStr">
        <is>
          <t>PT-12</t>
        </is>
      </c>
      <c r="B56" s="5" t="inlineStr">
        <is>
          <t>patient-edit.html</t>
        </is>
      </c>
      <c r="C56" s="5" t="inlineStr">
        <is>
          <t>随访方案</t>
        </is>
      </c>
      <c r="D56" s="5" t="inlineStr">
        <is>
          <t>下次随访（预计）</t>
        </is>
      </c>
      <c r="E56" s="5" t="inlineStr">
        <is>
          <t>—</t>
        </is>
      </c>
      <c r="F56" s="5" t="inlineStr">
        <is>
          <t>改周期时的预览</t>
        </is>
      </c>
      <c r="G56" s="5" t="inlineStr">
        <is>
          <t>前端按 B-03 规则本地计算，不调接口</t>
        </is>
      </c>
      <c r="H56" s="5" t="inlineStr">
        <is>
          <t>—</t>
        </is>
      </c>
      <c r="I56" s="5" t="inlineStr">
        <is>
          <t>—</t>
        </is>
      </c>
    </row>
    <row r="57" ht="31" customHeight="1">
      <c r="A57" s="4" t="inlineStr">
        <is>
          <t>PT-13</t>
        </is>
      </c>
      <c r="B57" s="5" t="inlineStr">
        <is>
          <t>patient-visits.html</t>
        </is>
      </c>
      <c r="C57" s="5" t="inlineStr">
        <is>
          <t>常见相关疾病</t>
        </is>
      </c>
      <c r="D57" s="5" t="inlineStr">
        <is>
          <t>N 年起 · 病程约 N 年</t>
        </is>
      </c>
      <c r="E57" s="5" t="inlineStr">
        <is>
          <t>comorbidities[].sinceYear</t>
        </is>
      </c>
      <c r="F57" s="5" t="inlineStr"/>
      <c r="G57" s="5" t="inlineStr">
        <is>
          <t>病程 = 今年 − sinceYear</t>
        </is>
      </c>
      <c r="H57" s="5" t="inlineStr">
        <is>
          <t>整数</t>
        </is>
      </c>
      <c r="I57" s="5" t="inlineStr">
        <is>
          <t>PT06</t>
        </is>
      </c>
    </row>
    <row r="58" ht="44.5" customHeight="1">
      <c r="A58" s="4" t="inlineStr">
        <is>
          <t>PT-14</t>
        </is>
      </c>
      <c r="B58" s="5" t="inlineStr">
        <is>
          <t>patient-visits.html</t>
        </is>
      </c>
      <c r="C58" s="5" t="inlineStr">
        <is>
          <t>吸烟史 / 过敏史 / 家族史 / 确诊日期 / 发病时间</t>
        </is>
      </c>
      <c r="D58" s="5" t="inlineStr">
        <is>
          <t>—</t>
        </is>
      </c>
      <c r="E58" s="5" t="inlineStr">
        <is>
          <t>smoking 等</t>
        </is>
      </c>
      <c r="F58" s="5" t="inlineStr">
        <is>
          <t>来自 CRF 的患者级信息</t>
        </is>
      </c>
      <c r="G58" s="5" t="inlineStr">
        <is>
          <t>确诊日期、发病时间取基线访视；吸烟、过敏、家族史取最近一次有值的访视</t>
        </is>
      </c>
      <c r="H58" s="5" t="inlineStr">
        <is>
          <t>—</t>
        </is>
      </c>
      <c r="I58" s="5" t="inlineStr">
        <is>
          <t>PT06</t>
        </is>
      </c>
    </row>
    <row r="59" ht="31" customHeight="1">
      <c r="A59" s="4" t="inlineStr">
        <is>
          <t>PT-15</t>
        </is>
      </c>
      <c r="B59" s="5" t="inlineStr">
        <is>
          <t>visit-detail.html</t>
        </is>
      </c>
      <c r="C59" s="5" t="inlineStr">
        <is>
          <t>辅助检查</t>
        </is>
      </c>
      <c r="D59" s="5" t="inlineStr">
        <is>
          <t>异常指标 N 项 / ↑ ↓ 标记</t>
        </is>
      </c>
      <c r="E59" s="5" t="inlineStr">
        <is>
          <t>labFlags / abnormalCount</t>
        </is>
      </c>
      <c r="F59" s="5" t="inlineStr">
        <is>
          <t>检验值与参考区间比较</t>
        </is>
      </c>
      <c r="G59" s="5" t="inlineStr">
        <is>
          <t>值 &gt; refHigh → H；值 &lt; refLow → L；区间内 → N；未录入且标记「未查」→ ND。参考区间以 CRF 字典为准（后期可按医院检验科区间）</t>
        </is>
      </c>
      <c r="H59" s="5" t="inlineStr">
        <is>
          <t>—</t>
        </is>
      </c>
      <c r="I59" s="5" t="inlineStr">
        <is>
          <t>V03</t>
        </is>
      </c>
    </row>
    <row r="60" ht="31" customHeight="1">
      <c r="A60" s="4" t="inlineStr">
        <is>
          <t>PT-16</t>
        </is>
      </c>
      <c r="B60" s="5" t="inlineStr">
        <is>
          <t>visit-detail.html</t>
        </is>
      </c>
      <c r="C60" s="5" t="inlineStr">
        <is>
          <t>病情评估</t>
        </is>
      </c>
      <c r="D60" s="5" t="inlineStr">
        <is>
          <t>DAS28-ESR / DAS28-CRP / 活动度</t>
        </is>
      </c>
      <c r="E60" s="5" t="inlineStr">
        <is>
          <t>derived.*</t>
        </is>
      </c>
      <c r="F60" s="5" t="inlineStr"/>
      <c r="G60" s="5" t="inlineStr">
        <is>
          <t>见 B-05、B-06；CDAI = TJC28 + SJC28 + PtGA/10 + PhGA/10；SDAI = CDAI + CRP(mg/dL)</t>
        </is>
      </c>
      <c r="H60" s="5" t="inlineStr">
        <is>
          <t>1 位小数</t>
        </is>
      </c>
      <c r="I60" s="5" t="inlineStr">
        <is>
          <t>V03</t>
        </is>
      </c>
    </row>
    <row r="61" ht="17.5" customHeight="1">
      <c r="A61" s="4" t="inlineStr">
        <is>
          <t>PT-17</t>
        </is>
      </c>
      <c r="B61" s="5" t="inlineStr">
        <is>
          <t>visit-detail.html</t>
        </is>
      </c>
      <c r="C61" s="5" t="inlineStr">
        <is>
          <t>本次录入内容</t>
        </is>
      </c>
      <c r="D61" s="5" t="inlineStr">
        <is>
          <t>字段清单</t>
        </is>
      </c>
      <c r="E61" s="5" t="inlineStr">
        <is>
          <t>entries[]</t>
        </is>
      </c>
      <c r="F61" s="5" t="inlineStr"/>
      <c r="G61" s="5" t="inlineStr">
        <is>
          <t>只列出有值的字段，按 CRF 模块顺序；多选、单选转成中文显示</t>
        </is>
      </c>
      <c r="H61" s="5" t="inlineStr">
        <is>
          <t>—</t>
        </is>
      </c>
      <c r="I61" s="5" t="inlineStr">
        <is>
          <t>V03</t>
        </is>
      </c>
    </row>
    <row r="62" ht="17.5" customHeight="1">
      <c r="A62" s="4" t="inlineStr">
        <is>
          <t>F-01</t>
        </is>
      </c>
      <c r="B62" s="5" t="inlineStr">
        <is>
          <t>followups.html</t>
        </is>
      </c>
      <c r="C62" s="5" t="inlineStr">
        <is>
          <t>顶部指标</t>
        </is>
      </c>
      <c r="D62" s="5" t="inlineStr">
        <is>
          <t>计划中随访</t>
        </is>
      </c>
      <c r="E62" s="5" t="inlineStr">
        <is>
          <t>kpi.planCount</t>
        </is>
      </c>
      <c r="F62" s="5" t="inlineStr">
        <is>
          <t>有随访计划的患者数</t>
        </is>
      </c>
      <c r="G62" s="5" t="inlineStr">
        <is>
          <t>满足 B-03 条件的患者数（未脱落且有 ≥1 次访视）；不受筛选影响</t>
        </is>
      </c>
      <c r="H62" s="5" t="inlineStr">
        <is>
          <t>整数</t>
        </is>
      </c>
      <c r="I62" s="5" t="inlineStr">
        <is>
          <t>F01</t>
        </is>
      </c>
    </row>
    <row r="63" ht="17.5" customHeight="1">
      <c r="A63" s="4" t="inlineStr">
        <is>
          <t>F-02</t>
        </is>
      </c>
      <c r="B63" s="5" t="inlineStr">
        <is>
          <t>followups.html</t>
        </is>
      </c>
      <c r="C63" s="5" t="inlineStr">
        <is>
          <t>顶部指标</t>
        </is>
      </c>
      <c r="D63" s="5" t="inlineStr">
        <is>
          <t>已逾期</t>
        </is>
      </c>
      <c r="E63" s="5" t="inlineStr">
        <is>
          <t>kpi.overdue</t>
        </is>
      </c>
      <c r="F63" s="5" t="inlineStr"/>
      <c r="G63" s="5" t="inlineStr">
        <is>
          <t>B-03 status = overdue</t>
        </is>
      </c>
      <c r="H63" s="5" t="inlineStr">
        <is>
          <t>整数</t>
        </is>
      </c>
      <c r="I63" s="5" t="inlineStr">
        <is>
          <t>F01</t>
        </is>
      </c>
    </row>
    <row r="64" ht="17.5" customHeight="1">
      <c r="A64" s="4" t="inlineStr">
        <is>
          <t>F-03</t>
        </is>
      </c>
      <c r="B64" s="5" t="inlineStr">
        <is>
          <t>followups.html</t>
        </is>
      </c>
      <c r="C64" s="5" t="inlineStr">
        <is>
          <t>顶部指标</t>
        </is>
      </c>
      <c r="D64" s="5" t="inlineStr">
        <is>
          <t>未来 14 天到期</t>
        </is>
      </c>
      <c r="E64" s="5" t="inlineStr">
        <is>
          <t>kpi.soon</t>
        </is>
      </c>
      <c r="F64" s="5" t="inlineStr"/>
      <c r="G64" s="5" t="inlineStr">
        <is>
          <t>B-03 status = soon（0 ≤ days ≤ 14）</t>
        </is>
      </c>
      <c r="H64" s="5" t="inlineStr">
        <is>
          <t>整数</t>
        </is>
      </c>
      <c r="I64" s="5" t="inlineStr">
        <is>
          <t>F01</t>
        </is>
      </c>
    </row>
    <row r="65" ht="31" customHeight="1">
      <c r="A65" s="4" t="inlineStr">
        <is>
          <t>F-04</t>
        </is>
      </c>
      <c r="B65" s="5" t="inlineStr">
        <is>
          <t>followups.html</t>
        </is>
      </c>
      <c r="C65" s="5" t="inlineStr">
        <is>
          <t>顶部指标</t>
        </is>
      </c>
      <c r="D65" s="5" t="inlineStr">
        <is>
          <t>按期随访率</t>
        </is>
      </c>
      <c r="E65" s="5" t="inlineStr">
        <is>
          <t>kpi.onTimeRate</t>
        </is>
      </c>
      <c r="F65" s="5" t="inlineStr">
        <is>
          <t>同 D-08</t>
        </is>
      </c>
      <c r="G65" s="5" t="inlineStr">
        <is>
          <t>(planCount − overdue) / planCount。注意：现前端用「未脱落患者数」作分母，与看板不一致，以本口径统一</t>
        </is>
      </c>
      <c r="H65" s="5" t="inlineStr">
        <is>
          <t>0–1，页面整数百分比</t>
        </is>
      </c>
      <c r="I65" s="5" t="inlineStr">
        <is>
          <t>F01</t>
        </is>
      </c>
    </row>
    <row r="66" ht="31" customHeight="1">
      <c r="A66" s="4" t="inlineStr">
        <is>
          <t>F-05</t>
        </is>
      </c>
      <c r="B66" s="5" t="inlineStr">
        <is>
          <t>followups.html</t>
        </is>
      </c>
      <c r="C66" s="5" t="inlineStr">
        <is>
          <t>列表</t>
        </is>
      </c>
      <c r="D66" s="5" t="inlineStr">
        <is>
          <t>第 N 次随访 / 预计日期 / 已逾期 N 天</t>
        </is>
      </c>
      <c r="E66" s="5" t="inlineStr">
        <is>
          <t>nextVisitNo / dueDate / days</t>
        </is>
      </c>
      <c r="F66" s="5" t="inlineStr"/>
      <c r="G66" s="5" t="inlineStr">
        <is>
          <t>nextVisitNo = visitCount + 1；其余见 B-03</t>
        </is>
      </c>
      <c r="H66" s="5" t="inlineStr">
        <is>
          <t>—</t>
        </is>
      </c>
      <c r="I66" s="5" t="inlineStr">
        <is>
          <t>F01</t>
        </is>
      </c>
    </row>
    <row r="67" ht="31" customHeight="1">
      <c r="A67" s="4" t="inlineStr">
        <is>
          <t>Q-01</t>
        </is>
      </c>
      <c r="B67" s="5" t="inlineStr">
        <is>
          <t>data-quality.html</t>
        </is>
      </c>
      <c r="C67" s="5" t="inlineStr">
        <is>
          <t>顶部指标</t>
        </is>
      </c>
      <c r="D67" s="5" t="inlineStr">
        <is>
          <t>无待处理问题的患者占比</t>
        </is>
      </c>
      <c r="E67" s="5" t="inlineStr">
        <is>
          <t>kpi.qualityRate</t>
        </is>
      </c>
      <c r="F67" s="5" t="inlineStr">
        <is>
          <t>同 P-03</t>
        </is>
      </c>
      <c r="G67" s="5" t="inlineStr">
        <is>
          <t>(患者总数 − affectedPatients) / 患者总数</t>
        </is>
      </c>
      <c r="H67" s="5" t="inlineStr">
        <is>
          <t>0–1，页面 1 位小数</t>
        </is>
      </c>
      <c r="I67" s="5" t="inlineStr">
        <is>
          <t>Q01</t>
        </is>
      </c>
    </row>
    <row r="68" ht="17.5" customHeight="1">
      <c r="A68" s="4" t="inlineStr">
        <is>
          <t>Q-02</t>
        </is>
      </c>
      <c r="B68" s="5" t="inlineStr">
        <is>
          <t>data-quality.html</t>
        </is>
      </c>
      <c r="C68" s="5" t="inlineStr">
        <is>
          <t>顶部指标</t>
        </is>
      </c>
      <c r="D68" s="5" t="inlineStr">
        <is>
          <t>待处理问题</t>
        </is>
      </c>
      <c r="E68" s="5" t="inlineStr">
        <is>
          <t>kpi.openCount</t>
        </is>
      </c>
      <c r="F68" s="5" t="inlineStr"/>
      <c r="G68" s="5" t="inlineStr">
        <is>
          <t>COUNT(qc_issue WHERE state ∈ {open, pending_confirm})</t>
        </is>
      </c>
      <c r="H68" s="5" t="inlineStr">
        <is>
          <t>整数</t>
        </is>
      </c>
      <c r="I68" s="5" t="inlineStr">
        <is>
          <t>Q01</t>
        </is>
      </c>
    </row>
    <row r="69" ht="17.5" customHeight="1">
      <c r="A69" s="4" t="inlineStr">
        <is>
          <t>Q-03</t>
        </is>
      </c>
      <c r="B69" s="5" t="inlineStr">
        <is>
          <t>data-quality.html</t>
        </is>
      </c>
      <c r="C69" s="5" t="inlineStr">
        <is>
          <t>顶部指标</t>
        </is>
      </c>
      <c r="D69" s="5" t="inlineStr">
        <is>
          <t>涉及患者</t>
        </is>
      </c>
      <c r="E69" s="5" t="inlineStr">
        <is>
          <t>kpi.affectedPatients</t>
        </is>
      </c>
      <c r="F69" s="5" t="inlineStr"/>
      <c r="G69" s="5" t="inlineStr">
        <is>
          <t>上述问题的去重患者数</t>
        </is>
      </c>
      <c r="H69" s="5" t="inlineStr">
        <is>
          <t>整数</t>
        </is>
      </c>
      <c r="I69" s="5" t="inlineStr">
        <is>
          <t>Q01</t>
        </is>
      </c>
    </row>
    <row r="70" ht="17.5" customHeight="1">
      <c r="A70" s="4" t="inlineStr">
        <is>
          <t>Q-04</t>
        </is>
      </c>
      <c r="B70" s="5" t="inlineStr">
        <is>
          <t>data-quality.html</t>
        </is>
      </c>
      <c r="C70" s="5" t="inlineStr">
        <is>
          <t>顶部指标</t>
        </is>
      </c>
      <c r="D70" s="5" t="inlineStr">
        <is>
          <t>满足研究级质量要求</t>
        </is>
      </c>
      <c r="E70" s="5" t="inlineStr">
        <is>
          <t>kpi.readyPatients</t>
        </is>
      </c>
      <c r="F70" s="5" t="inlineStr"/>
      <c r="G70" s="5">
        <f> 患者总数 − affectedPatients</f>
        <v/>
      </c>
      <c r="H70" s="5" t="inlineStr">
        <is>
          <t>整数</t>
        </is>
      </c>
      <c r="I70" s="5" t="inlineStr">
        <is>
          <t>Q01</t>
        </is>
      </c>
    </row>
    <row r="71" ht="31" customHeight="1">
      <c r="A71" s="4" t="inlineStr">
        <is>
          <t>Q-05</t>
        </is>
      </c>
      <c r="B71" s="5" t="inlineStr">
        <is>
          <t>data-quality.html</t>
        </is>
      </c>
      <c r="C71" s="5" t="inlineStr">
        <is>
          <t>页头</t>
        </is>
      </c>
      <c r="D71" s="5" t="inlineStr">
        <is>
          <t>共发现 N 个质控问题 · N 个待处理，涉及 N 位患者</t>
        </is>
      </c>
      <c r="E71" s="5" t="inlineStr">
        <is>
          <t>kpi.totalIssues 等</t>
        </is>
      </c>
      <c r="F71" s="5" t="inlineStr"/>
      <c r="G71" s="5" t="inlineStr">
        <is>
          <t>totalIssues = 全部状态问题总数（含已处理）</t>
        </is>
      </c>
      <c r="H71" s="5" t="inlineStr">
        <is>
          <t>整数</t>
        </is>
      </c>
      <c r="I71" s="5" t="inlineStr">
        <is>
          <t>Q01</t>
        </is>
      </c>
    </row>
  </sheetData>
  <autoFilter ref="A1:I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50" customWidth="1" min="4" max="4"/>
    <col width="34" customWidth="1" min="5" max="5"/>
    <col width="24" customWidth="1" min="6" max="6"/>
    <col width="26" customWidth="1" min="7" max="7"/>
    <col width="34" customWidth="1" min="8" max="8"/>
  </cols>
  <sheetData>
    <row r="1" ht="22" customHeight="1">
      <c r="A1" s="3" t="inlineStr">
        <is>
          <t>规则编码</t>
        </is>
      </c>
      <c r="B1" s="3" t="inlineStr">
        <is>
          <t>类型</t>
        </is>
      </c>
      <c r="C1" s="3" t="inlineStr">
        <is>
          <t>规则名称</t>
        </is>
      </c>
      <c r="D1" s="3" t="inlineStr">
        <is>
          <t>触发条件</t>
        </is>
      </c>
      <c r="E1" s="3" t="inlineStr">
        <is>
          <t>问题描述模板</t>
        </is>
      </c>
      <c r="F1" s="3" t="inlineStr">
        <is>
          <t>定位</t>
        </is>
      </c>
      <c r="G1" s="3" t="inlineStr">
        <is>
          <t>自动关闭条件</t>
        </is>
      </c>
      <c r="H1" s="3" t="inlineStr">
        <is>
          <t>备注</t>
        </is>
      </c>
    </row>
    <row r="2" ht="31" customHeight="1">
      <c r="A2" s="4" t="inlineStr">
        <is>
          <t>QC-M01</t>
        </is>
      </c>
      <c r="B2" s="5" t="inlineStr">
        <is>
          <t>缺失</t>
        </is>
      </c>
      <c r="C2" s="5" t="inlineStr">
        <is>
          <t>缺 DAS28 评分</t>
        </is>
      </c>
      <c r="D2" s="5" t="inlineStr">
        <is>
          <t>基线访视中 ASM.tjc28、ASM.sjc28、(LAB.esr 或 LAB.crp)、ASM.ptga_vas 任一为空</t>
        </is>
      </c>
      <c r="E2" s="5" t="inlineStr">
        <is>
          <t>基线 DAS28 缺少 {缺失项} 组成项</t>
        </is>
      </c>
      <c r="F2" s="5" t="inlineStr">
        <is>
          <t>基线访视 · 病情评估（ASM）</t>
        </is>
      </c>
      <c r="G2" s="5" t="inlineStr">
        <is>
          <t>组成项补齐后自动关闭</t>
        </is>
      </c>
      <c r="H2" s="5" t="inlineStr">
        <is>
          <t>看板「缺 DAS28 评分」</t>
        </is>
      </c>
    </row>
    <row r="3" ht="31" customHeight="1">
      <c r="A3" s="4" t="inlineStr">
        <is>
          <t>QC-M02</t>
        </is>
      </c>
      <c r="B3" s="5" t="inlineStr">
        <is>
          <t>缺失</t>
        </is>
      </c>
      <c r="C3" s="5" t="inlineStr">
        <is>
          <t>缺基线检验</t>
        </is>
      </c>
      <c r="D3" s="5" t="inlineStr">
        <is>
          <t>基线访视 LAB.esr 与 LAB.crp 均为空</t>
        </is>
      </c>
      <c r="E3" s="5" t="inlineStr">
        <is>
          <t>基线 ESR / CRP 检验未录入</t>
        </is>
      </c>
      <c r="F3" s="5" t="inlineStr">
        <is>
          <t>基线访视 · 辅助检查（LAB）</t>
        </is>
      </c>
      <c r="G3" s="5" t="inlineStr">
        <is>
          <t>任一补齐后关闭</t>
        </is>
      </c>
      <c r="H3" s="5" t="inlineStr">
        <is>
          <t>看板「缺基线检验」</t>
        </is>
      </c>
    </row>
    <row r="4" ht="31" customHeight="1">
      <c r="A4" s="4" t="inlineStr">
        <is>
          <t>QC-M03</t>
        </is>
      </c>
      <c r="B4" s="5" t="inlineStr">
        <is>
          <t>缺失</t>
        </is>
      </c>
      <c r="C4" s="5" t="inlineStr">
        <is>
          <t>缺合并疾病记录</t>
        </is>
      </c>
      <c r="D4" s="5" t="inlineStr">
        <is>
          <t>患者无 comorbidity 记录，且 comorbidityConfirmedNone ≠ true</t>
        </is>
      </c>
      <c r="E4" s="5" t="inlineStr">
        <is>
          <t>合并疾病（其他病史）未记录</t>
        </is>
      </c>
      <c r="F4" s="5" t="inlineStr">
        <is>
          <t>患者详情 · 常见相关疾病</t>
        </is>
      </c>
      <c r="G4" s="5" t="inlineStr">
        <is>
          <t>录入病史或勾选「已确认无」后关闭</t>
        </is>
      </c>
      <c r="H4" s="5" t="inlineStr">
        <is>
          <t>需在新建/编辑档案页加「已确认无常见相关疾病」勾选</t>
        </is>
      </c>
    </row>
    <row r="5" ht="31" customHeight="1">
      <c r="A5" s="4" t="inlineStr">
        <is>
          <t>QC-M04</t>
        </is>
      </c>
      <c r="B5" s="5" t="inlineStr">
        <is>
          <t>缺失</t>
        </is>
      </c>
      <c r="C5" s="5" t="inlineStr">
        <is>
          <t>缺用药史</t>
        </is>
      </c>
      <c r="D5" s="5" t="inlineStr">
        <is>
          <t>基线访视用药明细 TRT.med 为空</t>
        </is>
      </c>
      <c r="E5" s="5" t="inlineStr">
        <is>
          <t>基线用药明细缺失</t>
        </is>
      </c>
      <c r="F5" s="5" t="inlineStr">
        <is>
          <t>基线访视 · 治疗方案（TRT）</t>
        </is>
      </c>
      <c r="G5" s="5" t="inlineStr">
        <is>
          <t>录入后关闭</t>
        </is>
      </c>
      <c r="H5" s="5" t="inlineStr">
        <is>
          <t>现前端定位到「病史病情」，改为「治疗方案」</t>
        </is>
      </c>
    </row>
    <row r="6" ht="44.5" customHeight="1">
      <c r="A6" s="4" t="inlineStr">
        <is>
          <t>QC-O01</t>
        </is>
      </c>
      <c r="B6" s="5" t="inlineStr">
        <is>
          <t>异常值</t>
        </is>
      </c>
      <c r="C6" s="5" t="inlineStr">
        <is>
          <t>超出取值范围</t>
        </is>
      </c>
      <c r="D6" s="5" t="inlineStr">
        <is>
          <t>数值字段超出 CRF 字典 min / max（如 CRP 0–300 mg/L、ESR 0–150 mm/h、HGB 30–200 g/L、TJC28/SJC28 0–28、VAS 0–100）</t>
        </is>
      </c>
      <c r="E6" s="5" t="inlineStr">
        <is>
          <t>{字段} {值} {单位}，超出常见数据范围</t>
        </is>
      </c>
      <c r="F6" s="5" t="inlineStr">
        <is>
          <t>对应访视 · 对应模块，fieldCode 高亮</t>
        </is>
      </c>
      <c r="G6" s="5" t="inlineStr">
        <is>
          <t>值改回范围内自动关闭；人工确认无误可标记已处理</t>
        </is>
      </c>
      <c r="H6" s="5" t="inlineStr">
        <is>
          <t>范围由医学负责人在字典中定</t>
        </is>
      </c>
    </row>
    <row r="7" ht="44.5" customHeight="1">
      <c r="A7" s="4" t="inlineStr">
        <is>
          <t>QC-L01</t>
        </is>
      </c>
      <c r="B7" s="5" t="inlineStr">
        <is>
          <t>逻辑冲突</t>
        </is>
      </c>
      <c r="C7" s="5" t="inlineStr">
        <is>
          <t>日期先后矛盾</t>
        </is>
      </c>
      <c r="D7" s="5" t="inlineStr">
        <is>
          <t>访视日期晚于今天或早于出生日期；确诊日期早于发病时间；不良反应结束日期早于开始日期；用药起始日期晚于本次访视日期</t>
        </is>
      </c>
      <c r="E7" s="5" t="inlineStr">
        <is>
          <t>{字段A} 早于/晚于 {字段B}</t>
        </is>
      </c>
      <c r="F7" s="5" t="inlineStr">
        <is>
          <t>对应访视 · 对应模块</t>
        </is>
      </c>
      <c r="G7" s="5" t="inlineStr">
        <is>
          <t>修正后关闭</t>
        </is>
      </c>
      <c r="H7" s="5" t="inlineStr">
        <is>
          <t>原型示例「生物制剂开始日期早于基线日期」是否算错误，需医学确认</t>
        </is>
      </c>
    </row>
    <row r="8" ht="31" customHeight="1">
      <c r="A8" s="4" t="inlineStr">
        <is>
          <t>QC-L02</t>
        </is>
      </c>
      <c r="B8" s="5" t="inlineStr">
        <is>
          <t>逻辑冲突</t>
        </is>
      </c>
      <c r="C8" s="5" t="inlineStr">
        <is>
          <t>评估项矛盾</t>
        </is>
      </c>
      <c r="D8" s="5" t="inlineStr">
        <is>
          <t>SJC28 &gt; 0 但病史中关节肿胀选「无」；不良反应选「否」但填写了不良反应名称</t>
        </is>
      </c>
      <c r="E8" s="5" t="inlineStr">
        <is>
          <t>{描述}</t>
        </is>
      </c>
      <c r="F8" s="5" t="inlineStr">
        <is>
          <t>对应访视</t>
        </is>
      </c>
      <c r="G8" s="5" t="inlineStr">
        <is>
          <t>修正后关闭</t>
        </is>
      </c>
      <c r="H8" s="5" t="inlineStr">
        <is>
          <t>规则清单待医学补充</t>
        </is>
      </c>
    </row>
    <row r="9" ht="31" customHeight="1">
      <c r="A9" s="4" t="inlineStr">
        <is>
          <t>QC-F01</t>
        </is>
      </c>
      <c r="B9" s="5" t="inlineStr">
        <is>
          <t>随访缺失</t>
        </is>
      </c>
      <c r="C9" s="5" t="inlineStr">
        <is>
          <t>随访逾期超 30 天</t>
        </is>
      </c>
      <c r="D9" s="5" t="inlineStr">
        <is>
          <t>B-03 days &lt; −30</t>
        </is>
      </c>
      <c r="E9" s="5" t="inlineStr">
        <is>
          <t>计划 {dueDate} 的随访尚未完成（每 {cycle} 个月，已逾期 {N} 天）</t>
        </is>
      </c>
      <c r="F9" s="5" t="inlineStr">
        <is>
          <t>患者详情 · 随访时间线</t>
        </is>
      </c>
      <c r="G9" s="5" t="inlineStr">
        <is>
          <t>提交新访视或标记脱落后关闭</t>
        </is>
      </c>
      <c r="H9" s="5" t="inlineStr">
        <is>
          <t>每日 02:00 批量检查</t>
        </is>
      </c>
    </row>
    <row r="11">
      <c r="A11" s="23" t="inlineStr">
        <is>
          <t>通用说明</t>
        </is>
      </c>
    </row>
    <row r="12" ht="62" customHeight="1">
      <c r="A12" s="5" t="inlineStr">
        <is>
          <t>执行时机：① 访视提交/编辑后，检查该患者全部规则；② 每天 02:00 全库检查；③ 数据质控页「运行质控检查」（Q03）。
去重：同一规则 + 同一患者 + 同一访视 + 同一字段只保留一条未关闭问题。
人工「标记已处理」后，同一规则 + 字段 + 值不再重复报出；值变化后重新检查。
规则以配置表维护（rule_code、type、表达式、描述模板、定位），便于以后新增病种复用。</t>
        </is>
      </c>
    </row>
  </sheetData>
  <mergeCells count="1">
    <mergeCell ref="A12:H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50" customWidth="1" min="5" max="5"/>
  </cols>
  <sheetData>
    <row r="1" ht="22" customHeight="1">
      <c r="A1" s="3" t="inlineStr">
        <is>
          <t>枚举名</t>
        </is>
      </c>
      <c r="B1" s="3" t="inlineStr">
        <is>
          <t>含义</t>
        </is>
      </c>
      <c r="C1" s="3" t="inlineStr">
        <is>
          <t>编码</t>
        </is>
      </c>
      <c r="D1" s="3" t="inlineStr">
        <is>
          <t>中文</t>
        </is>
      </c>
      <c r="E1" s="3" t="inlineStr">
        <is>
          <t>备注</t>
        </is>
      </c>
    </row>
    <row r="2" ht="17" customHeight="1">
      <c r="A2" s="24" t="inlineStr">
        <is>
          <t>followStatus</t>
        </is>
      </c>
      <c r="B2" s="8" t="inlineStr">
        <is>
          <t>患者随访状态</t>
        </is>
      </c>
      <c r="C2" s="25" t="inlineStr">
        <is>
          <t>active</t>
        </is>
      </c>
      <c r="D2" s="25" t="inlineStr">
        <is>
          <t>随访中</t>
        </is>
      </c>
      <c r="E2" s="8" t="inlineStr">
        <is>
          <t>判断规则见计算口径 B-04</t>
        </is>
      </c>
    </row>
    <row r="3" ht="17" customHeight="1">
      <c r="A3" s="26" t="n"/>
      <c r="B3" s="26" t="n"/>
      <c r="C3" s="5" t="inlineStr">
        <is>
          <t>soon</t>
        </is>
      </c>
      <c r="D3" s="5" t="inlineStr">
        <is>
          <t>近期需随访</t>
        </is>
      </c>
      <c r="E3" s="26" t="n"/>
    </row>
    <row r="4" ht="17" customHeight="1">
      <c r="A4" s="26" t="n"/>
      <c r="B4" s="26" t="n"/>
      <c r="C4" s="5" t="inlineStr">
        <is>
          <t>overdue</t>
        </is>
      </c>
      <c r="D4" s="5" t="inlineStr">
        <is>
          <t>随访逾期</t>
        </is>
      </c>
      <c r="E4" s="26" t="n"/>
    </row>
    <row r="5" ht="17" customHeight="1">
      <c r="A5" s="26" t="n"/>
      <c r="B5" s="26" t="n"/>
      <c r="C5" s="5" t="inlineStr">
        <is>
          <t>pending_first</t>
        </is>
      </c>
      <c r="D5" s="5" t="inlineStr">
        <is>
          <t>待首次随访</t>
        </is>
      </c>
      <c r="E5" s="26" t="n"/>
    </row>
    <row r="6" ht="17" customHeight="1">
      <c r="A6" s="27" t="n"/>
      <c r="B6" s="27" t="n"/>
      <c r="C6" s="5" t="inlineStr">
        <is>
          <t>withdrawn</t>
        </is>
      </c>
      <c r="D6" s="5" t="inlineStr">
        <is>
          <t>已脱落</t>
        </is>
      </c>
      <c r="E6" s="27" t="n"/>
    </row>
    <row r="7" ht="17" customHeight="1">
      <c r="A7" s="24" t="inlineStr">
        <is>
          <t>followPlanStatus</t>
        </is>
      </c>
      <c r="B7" s="8" t="inlineStr">
        <is>
          <t>随访计划状态</t>
        </is>
      </c>
      <c r="C7" s="25" t="inlineStr">
        <is>
          <t>overdue</t>
        </is>
      </c>
      <c r="D7" s="25" t="inlineStr">
        <is>
          <t>已逾期</t>
        </is>
      </c>
      <c r="E7" s="8" t="inlineStr">
        <is>
          <t>见 B-03</t>
        </is>
      </c>
    </row>
    <row r="8" ht="17" customHeight="1">
      <c r="A8" s="26" t="n"/>
      <c r="B8" s="26" t="n"/>
      <c r="C8" s="5" t="inlineStr">
        <is>
          <t>soon</t>
        </is>
      </c>
      <c r="D8" s="5" t="inlineStr">
        <is>
          <t>14 天内到期</t>
        </is>
      </c>
      <c r="E8" s="26" t="n"/>
    </row>
    <row r="9" ht="17" customHeight="1">
      <c r="A9" s="27" t="n"/>
      <c r="B9" s="27" t="n"/>
      <c r="C9" s="5" t="inlineStr">
        <is>
          <t>later</t>
        </is>
      </c>
      <c r="D9" s="5" t="inlineStr">
        <is>
          <t>待随访</t>
        </is>
      </c>
      <c r="E9" s="27" t="n"/>
    </row>
    <row r="10" ht="17" customHeight="1">
      <c r="A10" s="24" t="inlineStr">
        <is>
          <t>followCycle</t>
        </is>
      </c>
      <c r="B10" s="8" t="inlineStr">
        <is>
          <t>随访周期（月）</t>
        </is>
      </c>
      <c r="C10" s="25" t="inlineStr">
        <is>
          <t>3</t>
        </is>
      </c>
      <c r="D10" s="25" t="inlineStr">
        <is>
          <t>每 3 个月（疾病活动期）</t>
        </is>
      </c>
      <c r="E10" s="8" t="inlineStr">
        <is>
          <t>整数</t>
        </is>
      </c>
    </row>
    <row r="11" ht="17" customHeight="1">
      <c r="A11" s="26" t="n"/>
      <c r="B11" s="26" t="n"/>
      <c r="C11" s="5" t="inlineStr">
        <is>
          <t>6</t>
        </is>
      </c>
      <c r="D11" s="5" t="inlineStr">
        <is>
          <t>每 6 个月</t>
        </is>
      </c>
      <c r="E11" s="26" t="n"/>
    </row>
    <row r="12" ht="17" customHeight="1">
      <c r="A12" s="27" t="n"/>
      <c r="B12" s="27" t="n"/>
      <c r="C12" s="5" t="inlineStr">
        <is>
          <t>12</t>
        </is>
      </c>
      <c r="D12" s="5" t="inlineStr">
        <is>
          <t>每 12 个月（长期稳定）</t>
        </is>
      </c>
      <c r="E12" s="27" t="n"/>
    </row>
    <row r="13" ht="17" customHeight="1">
      <c r="A13" s="24" t="inlineStr">
        <is>
          <t>sex</t>
        </is>
      </c>
      <c r="B13" s="8" t="inlineStr">
        <is>
          <t>性别</t>
        </is>
      </c>
      <c r="C13" s="25" t="inlineStr">
        <is>
          <t>M</t>
        </is>
      </c>
      <c r="D13" s="25" t="inlineStr">
        <is>
          <t>男</t>
        </is>
      </c>
      <c r="E13" s="8" t="inlineStr"/>
    </row>
    <row r="14" ht="17" customHeight="1">
      <c r="A14" s="27" t="n"/>
      <c r="B14" s="27" t="n"/>
      <c r="C14" s="5" t="inlineStr">
        <is>
          <t>F</t>
        </is>
      </c>
      <c r="D14" s="5" t="inlineStr">
        <is>
          <t>女</t>
        </is>
      </c>
      <c r="E14" s="27" t="n"/>
    </row>
    <row r="15" ht="17" customHeight="1">
      <c r="A15" s="24" t="inlineStr">
        <is>
          <t>maritalStatus</t>
        </is>
      </c>
      <c r="B15" s="8" t="inlineStr">
        <is>
          <t>婚史</t>
        </is>
      </c>
      <c r="C15" s="25" t="inlineStr">
        <is>
          <t>unmarried</t>
        </is>
      </c>
      <c r="D15" s="25" t="inlineStr">
        <is>
          <t>未婚</t>
        </is>
      </c>
      <c r="E15" s="8" t="inlineStr"/>
    </row>
    <row r="16" ht="17" customHeight="1">
      <c r="A16" s="26" t="n"/>
      <c r="B16" s="26" t="n"/>
      <c r="C16" s="5" t="inlineStr">
        <is>
          <t>married</t>
        </is>
      </c>
      <c r="D16" s="5" t="inlineStr">
        <is>
          <t>已婚</t>
        </is>
      </c>
      <c r="E16" s="26" t="n"/>
    </row>
    <row r="17" ht="17" customHeight="1">
      <c r="A17" s="26" t="n"/>
      <c r="B17" s="26" t="n"/>
      <c r="C17" s="5" t="inlineStr">
        <is>
          <t>divorced</t>
        </is>
      </c>
      <c r="D17" s="5" t="inlineStr">
        <is>
          <t>离异</t>
        </is>
      </c>
      <c r="E17" s="26" t="n"/>
    </row>
    <row r="18" ht="17" customHeight="1">
      <c r="A18" s="27" t="n"/>
      <c r="B18" s="27" t="n"/>
      <c r="C18" s="5" t="inlineStr">
        <is>
          <t>widowed</t>
        </is>
      </c>
      <c r="D18" s="5" t="inlineStr">
        <is>
          <t>丧偶</t>
        </is>
      </c>
      <c r="E18" s="27" t="n"/>
    </row>
    <row r="19" ht="17" customHeight="1">
      <c r="A19" s="24" t="inlineStr">
        <is>
          <t>visitType</t>
        </is>
      </c>
      <c r="B19" s="8" t="inlineStr">
        <is>
          <t>访视类型</t>
        </is>
      </c>
      <c r="C19" s="25" t="inlineStr">
        <is>
          <t>baseline</t>
        </is>
      </c>
      <c r="D19" s="25" t="inlineStr">
        <is>
          <t>基线访视</t>
        </is>
      </c>
      <c r="E19" s="8" t="inlineStr">
        <is>
          <t>首次访视自动为 baseline</t>
        </is>
      </c>
    </row>
    <row r="20" ht="17" customHeight="1">
      <c r="A20" s="26" t="n"/>
      <c r="B20" s="26" t="n"/>
      <c r="C20" s="5" t="inlineStr">
        <is>
          <t>followup</t>
        </is>
      </c>
      <c r="D20" s="5" t="inlineStr">
        <is>
          <t>常规随访</t>
        </is>
      </c>
      <c r="E20" s="26" t="n"/>
    </row>
    <row r="21" ht="17" customHeight="1">
      <c r="A21" s="27" t="n"/>
      <c r="B21" s="27" t="n"/>
      <c r="C21" s="5" t="inlineStr">
        <is>
          <t>unscheduled</t>
        </is>
      </c>
      <c r="D21" s="5" t="inlineStr">
        <is>
          <t>计划外访视</t>
        </is>
      </c>
      <c r="E21" s="27" t="n"/>
    </row>
    <row r="22" ht="17" customHeight="1">
      <c r="A22" s="24" t="inlineStr">
        <is>
          <t>visitMethod</t>
        </is>
      </c>
      <c r="B22" s="8" t="inlineStr">
        <is>
          <t>访视方式</t>
        </is>
      </c>
      <c r="C22" s="25" t="inlineStr">
        <is>
          <t>outpatient</t>
        </is>
      </c>
      <c r="D22" s="25" t="inlineStr">
        <is>
          <t>门诊随访</t>
        </is>
      </c>
      <c r="E22" s="8" t="inlineStr">
        <is>
          <t>页面暂无选择项，默认门诊（待确认）</t>
        </is>
      </c>
    </row>
    <row r="23" ht="17" customHeight="1">
      <c r="A23" s="26" t="n"/>
      <c r="B23" s="26" t="n"/>
      <c r="C23" s="5" t="inlineStr">
        <is>
          <t>phone</t>
        </is>
      </c>
      <c r="D23" s="5" t="inlineStr">
        <is>
          <t>电话随访</t>
        </is>
      </c>
      <c r="E23" s="26" t="n"/>
    </row>
    <row r="24" ht="17" customHeight="1">
      <c r="A24" s="27" t="n"/>
      <c r="B24" s="27" t="n"/>
      <c r="C24" s="5" t="inlineStr">
        <is>
          <t>inpatient</t>
        </is>
      </c>
      <c r="D24" s="5" t="inlineStr">
        <is>
          <t>住院随访</t>
        </is>
      </c>
      <c r="E24" s="27" t="n"/>
    </row>
    <row r="25" ht="17" customHeight="1">
      <c r="A25" s="24" t="inlineStr">
        <is>
          <t>visitStatus</t>
        </is>
      </c>
      <c r="B25" s="8" t="inlineStr">
        <is>
          <t>访视状态</t>
        </is>
      </c>
      <c r="C25" s="25" t="inlineStr">
        <is>
          <t>draft</t>
        </is>
      </c>
      <c r="D25" s="25" t="inlineStr">
        <is>
          <t>草稿</t>
        </is>
      </c>
      <c r="E25" s="8" t="inlineStr">
        <is>
          <t>locked 为数据管理员锁库用，一期预留</t>
        </is>
      </c>
    </row>
    <row r="26" ht="17" customHeight="1">
      <c r="A26" s="26" t="n"/>
      <c r="B26" s="26" t="n"/>
      <c r="C26" s="5" t="inlineStr">
        <is>
          <t>submitted</t>
        </is>
      </c>
      <c r="D26" s="5" t="inlineStr">
        <is>
          <t>已提交</t>
        </is>
      </c>
      <c r="E26" s="26" t="n"/>
    </row>
    <row r="27" ht="17" customHeight="1">
      <c r="A27" s="27" t="n"/>
      <c r="B27" s="27" t="n"/>
      <c r="C27" s="5" t="inlineStr">
        <is>
          <t>locked</t>
        </is>
      </c>
      <c r="D27" s="5" t="inlineStr">
        <is>
          <t>已锁定</t>
        </is>
      </c>
      <c r="E27" s="27" t="n"/>
    </row>
    <row r="28" ht="17" customHeight="1">
      <c r="A28" s="24" t="inlineStr">
        <is>
          <t>das28Level</t>
        </is>
      </c>
      <c r="B28" s="8" t="inlineStr">
        <is>
          <t>疾病活动度</t>
        </is>
      </c>
      <c r="C28" s="25" t="inlineStr">
        <is>
          <t>remission</t>
        </is>
      </c>
      <c r="D28" s="25" t="inlineStr">
        <is>
          <t>缓解 &lt; 2.6</t>
        </is>
      </c>
      <c r="E28" s="8" t="inlineStr">
        <is>
          <t>见 B-06</t>
        </is>
      </c>
    </row>
    <row r="29" ht="17" customHeight="1">
      <c r="A29" s="26" t="n"/>
      <c r="B29" s="26" t="n"/>
      <c r="C29" s="5" t="inlineStr">
        <is>
          <t>low</t>
        </is>
      </c>
      <c r="D29" s="5" t="inlineStr">
        <is>
          <t>低活动 2.6–3.2</t>
        </is>
      </c>
      <c r="E29" s="26" t="n"/>
    </row>
    <row r="30" ht="17" customHeight="1">
      <c r="A30" s="26" t="n"/>
      <c r="B30" s="26" t="n"/>
      <c r="C30" s="5" t="inlineStr">
        <is>
          <t>moderate</t>
        </is>
      </c>
      <c r="D30" s="5" t="inlineStr">
        <is>
          <t>中活动 3.2–5.1</t>
        </is>
      </c>
      <c r="E30" s="26" t="n"/>
    </row>
    <row r="31" ht="17" customHeight="1">
      <c r="A31" s="27" t="n"/>
      <c r="B31" s="27" t="n"/>
      <c r="C31" s="5" t="inlineStr">
        <is>
          <t>high</t>
        </is>
      </c>
      <c r="D31" s="5" t="inlineStr">
        <is>
          <t>高活动 &gt; 5.1</t>
        </is>
      </c>
      <c r="E31" s="27" t="n"/>
    </row>
    <row r="32" ht="17" customHeight="1">
      <c r="A32" s="24" t="inlineStr">
        <is>
          <t>labFlag</t>
        </is>
      </c>
      <c r="B32" s="8" t="inlineStr">
        <is>
          <t>检验标记</t>
        </is>
      </c>
      <c r="C32" s="25" t="inlineStr">
        <is>
          <t>H</t>
        </is>
      </c>
      <c r="D32" s="25" t="inlineStr">
        <is>
          <t>偏高 ↑</t>
        </is>
      </c>
      <c r="E32" s="8" t="inlineStr"/>
    </row>
    <row r="33" ht="17" customHeight="1">
      <c r="A33" s="26" t="n"/>
      <c r="B33" s="26" t="n"/>
      <c r="C33" s="5" t="inlineStr">
        <is>
          <t>L</t>
        </is>
      </c>
      <c r="D33" s="5" t="inlineStr">
        <is>
          <t>偏低 ↓</t>
        </is>
      </c>
      <c r="E33" s="26" t="n"/>
    </row>
    <row r="34" ht="17" customHeight="1">
      <c r="A34" s="26" t="n"/>
      <c r="B34" s="26" t="n"/>
      <c r="C34" s="5" t="inlineStr">
        <is>
          <t>N</t>
        </is>
      </c>
      <c r="D34" s="5" t="inlineStr">
        <is>
          <t>正常</t>
        </is>
      </c>
      <c r="E34" s="26" t="n"/>
    </row>
    <row r="35" ht="17" customHeight="1">
      <c r="A35" s="27" t="n"/>
      <c r="B35" s="27" t="n"/>
      <c r="C35" s="5" t="inlineStr">
        <is>
          <t>ND</t>
        </is>
      </c>
      <c r="D35" s="5" t="inlineStr">
        <is>
          <t>未查</t>
        </is>
      </c>
      <c r="E35" s="27" t="n"/>
    </row>
    <row r="36" ht="17" customHeight="1">
      <c r="A36" s="24" t="inlineStr">
        <is>
          <t>qcType</t>
        </is>
      </c>
      <c r="B36" s="8" t="inlineStr">
        <is>
          <t>质控问题类型</t>
        </is>
      </c>
      <c r="C36" s="25" t="inlineStr">
        <is>
          <t>missing</t>
        </is>
      </c>
      <c r="D36" s="25" t="inlineStr">
        <is>
          <t>缺失</t>
        </is>
      </c>
      <c r="E36" s="8" t="inlineStr"/>
    </row>
    <row r="37" ht="17" customHeight="1">
      <c r="A37" s="26" t="n"/>
      <c r="B37" s="26" t="n"/>
      <c r="C37" s="5" t="inlineStr">
        <is>
          <t>outlier</t>
        </is>
      </c>
      <c r="D37" s="5" t="inlineStr">
        <is>
          <t>异常值</t>
        </is>
      </c>
      <c r="E37" s="26" t="n"/>
    </row>
    <row r="38" ht="17" customHeight="1">
      <c r="A38" s="26" t="n"/>
      <c r="B38" s="26" t="n"/>
      <c r="C38" s="5" t="inlineStr">
        <is>
          <t>logic</t>
        </is>
      </c>
      <c r="D38" s="5" t="inlineStr">
        <is>
          <t>逻辑冲突</t>
        </is>
      </c>
      <c r="E38" s="26" t="n"/>
    </row>
    <row r="39" ht="17" customHeight="1">
      <c r="A39" s="27" t="n"/>
      <c r="B39" s="27" t="n"/>
      <c r="C39" s="5" t="inlineStr">
        <is>
          <t>followup_missing</t>
        </is>
      </c>
      <c r="D39" s="5" t="inlineStr">
        <is>
          <t>随访缺失</t>
        </is>
      </c>
      <c r="E39" s="27" t="n"/>
    </row>
    <row r="40" ht="17" customHeight="1">
      <c r="A40" s="24" t="inlineStr">
        <is>
          <t>qcState</t>
        </is>
      </c>
      <c r="B40" s="8" t="inlineStr">
        <is>
          <t>质控处理状态</t>
        </is>
      </c>
      <c r="C40" s="25" t="inlineStr">
        <is>
          <t>open</t>
        </is>
      </c>
      <c r="D40" s="25" t="inlineStr">
        <is>
          <t>待处理</t>
        </is>
      </c>
      <c r="E40" s="8" t="inlineStr">
        <is>
          <t>一期页面只用 open → resolved</t>
        </is>
      </c>
    </row>
    <row r="41" ht="17" customHeight="1">
      <c r="A41" s="26" t="n"/>
      <c r="B41" s="26" t="n"/>
      <c r="C41" s="5" t="inlineStr">
        <is>
          <t>pending_confirm</t>
        </is>
      </c>
      <c r="D41" s="5" t="inlineStr">
        <is>
          <t>待确认</t>
        </is>
      </c>
      <c r="E41" s="26" t="n"/>
    </row>
    <row r="42" ht="17" customHeight="1">
      <c r="A42" s="27" t="n"/>
      <c r="B42" s="27" t="n"/>
      <c r="C42" s="5" t="inlineStr">
        <is>
          <t>resolved</t>
        </is>
      </c>
      <c r="D42" s="5" t="inlineStr">
        <is>
          <t>已处理</t>
        </is>
      </c>
      <c r="E42" s="27" t="n"/>
    </row>
    <row r="43" ht="17" customHeight="1">
      <c r="A43" s="24" t="inlineStr">
        <is>
          <t>riskType</t>
        </is>
      </c>
      <c r="B43" s="8" t="inlineStr">
        <is>
          <t>风险类型</t>
        </is>
      </c>
      <c r="C43" s="25" t="inlineStr">
        <is>
          <t>activity_rebound</t>
        </is>
      </c>
      <c r="D43" s="25" t="inlineStr">
        <is>
          <t>疾病活动度回升</t>
        </is>
      </c>
      <c r="E43" s="8" t="inlineStr">
        <is>
          <t>见 D-21 ~ D-23</t>
        </is>
      </c>
    </row>
    <row r="44" ht="17" customHeight="1">
      <c r="A44" s="26" t="n"/>
      <c r="B44" s="26" t="n"/>
      <c r="C44" s="5" t="inlineStr">
        <is>
          <t>high_activity</t>
        </is>
      </c>
      <c r="D44" s="5" t="inlineStr">
        <is>
          <t>高疾病活动</t>
        </is>
      </c>
      <c r="E44" s="26" t="n"/>
    </row>
    <row r="45" ht="17" customHeight="1">
      <c r="A45" s="27" t="n"/>
      <c r="B45" s="27" t="n"/>
      <c r="C45" s="5" t="inlineStr">
        <is>
          <t>overdue_90</t>
        </is>
      </c>
      <c r="D45" s="5" t="inlineStr">
        <is>
          <t>随访逾期超 3 个月</t>
        </is>
      </c>
      <c r="E45" s="27" t="n"/>
    </row>
    <row r="46" ht="17" customHeight="1">
      <c r="A46" s="24" t="inlineStr">
        <is>
          <t>auditAction</t>
        </is>
      </c>
      <c r="B46" s="8" t="inlineStr">
        <is>
          <t>审计动作</t>
        </is>
      </c>
      <c r="C46" s="25" t="inlineStr">
        <is>
          <t>create_patient</t>
        </is>
      </c>
      <c r="D46" s="25" t="inlineStr">
        <is>
          <t>新建档案</t>
        </is>
      </c>
      <c r="E46" s="8" t="inlineStr">
        <is>
          <t>页面标签颜色：新建/新增=绿，修改/编辑=蓝，质控=紫，脱落=橙</t>
        </is>
      </c>
    </row>
    <row r="47" ht="17" customHeight="1">
      <c r="A47" s="26" t="n"/>
      <c r="B47" s="26" t="n"/>
      <c r="C47" s="5" t="inlineStr">
        <is>
          <t>update_patient</t>
        </is>
      </c>
      <c r="D47" s="5" t="inlineStr">
        <is>
          <t>修改档案</t>
        </is>
      </c>
      <c r="E47" s="26" t="n"/>
    </row>
    <row r="48" ht="17" customHeight="1">
      <c r="A48" s="26" t="n"/>
      <c r="B48" s="26" t="n"/>
      <c r="C48" s="5" t="inlineStr">
        <is>
          <t>withdraw</t>
        </is>
      </c>
      <c r="D48" s="5" t="inlineStr">
        <is>
          <t>标记脱落</t>
        </is>
      </c>
      <c r="E48" s="26" t="n"/>
    </row>
    <row r="49" ht="17" customHeight="1">
      <c r="A49" s="26" t="n"/>
      <c r="B49" s="26" t="n"/>
      <c r="C49" s="5" t="inlineStr">
        <is>
          <t>create_visit</t>
        </is>
      </c>
      <c r="D49" s="5" t="inlineStr">
        <is>
          <t>新增随访</t>
        </is>
      </c>
      <c r="E49" s="26" t="n"/>
    </row>
    <row r="50" ht="17" customHeight="1">
      <c r="A50" s="26" t="n"/>
      <c r="B50" s="26" t="n"/>
      <c r="C50" s="5" t="inlineStr">
        <is>
          <t>update_visit</t>
        </is>
      </c>
      <c r="D50" s="5" t="inlineStr">
        <is>
          <t>编辑随访</t>
        </is>
      </c>
      <c r="E50" s="26" t="n"/>
    </row>
    <row r="51" ht="17" customHeight="1">
      <c r="A51" s="26" t="n"/>
      <c r="B51" s="26" t="n"/>
      <c r="C51" s="5" t="inlineStr">
        <is>
          <t>qc_open</t>
        </is>
      </c>
      <c r="D51" s="5" t="inlineStr">
        <is>
          <t>质控发起</t>
        </is>
      </c>
      <c r="E51" s="26" t="n"/>
    </row>
    <row r="52" ht="17" customHeight="1">
      <c r="A52" s="26" t="n"/>
      <c r="B52" s="26" t="n"/>
      <c r="C52" s="5" t="inlineStr">
        <is>
          <t>qc_resolve</t>
        </is>
      </c>
      <c r="D52" s="5" t="inlineStr">
        <is>
          <t>质控处理</t>
        </is>
      </c>
      <c r="E52" s="26" t="n"/>
    </row>
    <row r="53" ht="17" customHeight="1">
      <c r="A53" s="26" t="n"/>
      <c r="B53" s="26" t="n"/>
      <c r="C53" s="5" t="inlineStr">
        <is>
          <t>view_sensitive</t>
        </is>
      </c>
      <c r="D53" s="5" t="inlineStr">
        <is>
          <t>查看敏感信息</t>
        </is>
      </c>
      <c r="E53" s="26" t="n"/>
    </row>
    <row r="54" ht="17" customHeight="1">
      <c r="A54" s="26" t="n"/>
      <c r="B54" s="26" t="n"/>
      <c r="C54" s="5" t="inlineStr">
        <is>
          <t>export</t>
        </is>
      </c>
      <c r="D54" s="5" t="inlineStr">
        <is>
          <t>数据导出</t>
        </is>
      </c>
      <c r="E54" s="26" t="n"/>
    </row>
    <row r="55" ht="17" customHeight="1">
      <c r="A55" s="26" t="n"/>
      <c r="B55" s="26" t="n"/>
      <c r="C55" s="5" t="inlineStr">
        <is>
          <t>download_case</t>
        </is>
      </c>
      <c r="D55" s="5" t="inlineStr">
        <is>
          <t>下载病历</t>
        </is>
      </c>
      <c r="E55" s="26" t="n"/>
    </row>
    <row r="56" ht="17" customHeight="1">
      <c r="A56" s="27" t="n"/>
      <c r="B56" s="27" t="n"/>
      <c r="C56" s="5" t="inlineStr">
        <is>
          <t>import</t>
        </is>
      </c>
      <c r="D56" s="5" t="inlineStr">
        <is>
          <t>历史导入</t>
        </is>
      </c>
      <c r="E56" s="27" t="n"/>
    </row>
    <row r="57" ht="17" customHeight="1">
      <c r="A57" s="24" t="inlineStr">
        <is>
          <t>withdrawReason</t>
        </is>
      </c>
      <c r="B57" s="8" t="inlineStr">
        <is>
          <t>脱落原因</t>
        </is>
      </c>
      <c r="C57" s="25" t="inlineStr">
        <is>
          <t>lost</t>
        </is>
      </c>
      <c r="D57" s="25" t="inlineStr">
        <is>
          <t>失访</t>
        </is>
      </c>
      <c r="E57" s="8" t="inlineStr"/>
    </row>
    <row r="58" ht="17" customHeight="1">
      <c r="A58" s="26" t="n"/>
      <c r="B58" s="26" t="n"/>
      <c r="C58" s="5" t="inlineStr">
        <is>
          <t>withdraw_consent</t>
        </is>
      </c>
      <c r="D58" s="5" t="inlineStr">
        <is>
          <t>撤回知情同意</t>
        </is>
      </c>
      <c r="E58" s="26" t="n"/>
    </row>
    <row r="59" ht="17" customHeight="1">
      <c r="A59" s="26" t="n"/>
      <c r="B59" s="26" t="n"/>
      <c r="C59" s="5" t="inlineStr">
        <is>
          <t>adverse</t>
        </is>
      </c>
      <c r="D59" s="5" t="inlineStr">
        <is>
          <t>不良事件</t>
        </is>
      </c>
      <c r="E59" s="26" t="n"/>
    </row>
    <row r="60" ht="17" customHeight="1">
      <c r="A60" s="26" t="n"/>
      <c r="B60" s="26" t="n"/>
      <c r="C60" s="5" t="inlineStr">
        <is>
          <t>death</t>
        </is>
      </c>
      <c r="D60" s="5" t="inlineStr">
        <is>
          <t>死亡</t>
        </is>
      </c>
      <c r="E60" s="26" t="n"/>
    </row>
    <row r="61" ht="17" customHeight="1">
      <c r="A61" s="27" t="n"/>
      <c r="B61" s="27" t="n"/>
      <c r="C61" s="5" t="inlineStr">
        <is>
          <t>other</t>
        </is>
      </c>
      <c r="D61" s="5" t="inlineStr">
        <is>
          <t>其他</t>
        </is>
      </c>
      <c r="E61" s="27" t="n"/>
    </row>
    <row r="62" ht="17" customHeight="1">
      <c r="A62" s="24" t="inlineStr">
        <is>
          <t>comorbidityCode</t>
        </is>
      </c>
      <c r="B62" s="8" t="inlineStr">
        <is>
          <t>其他病史</t>
        </is>
      </c>
      <c r="C62" s="25" t="inlineStr">
        <is>
          <t>FM</t>
        </is>
      </c>
      <c r="D62" s="25" t="inlineStr">
        <is>
          <t>纤维肌痛</t>
        </is>
      </c>
      <c r="E62" s="8" t="inlineStr">
        <is>
          <t>与研究库编码一致，以后新增病种可扩展</t>
        </is>
      </c>
    </row>
    <row r="63" ht="17" customHeight="1">
      <c r="A63" s="27" t="n"/>
      <c r="B63" s="27" t="n"/>
      <c r="C63" s="5" t="inlineStr">
        <is>
          <t>AS</t>
        </is>
      </c>
      <c r="D63" s="5" t="inlineStr">
        <is>
          <t>强直性脊柱炎</t>
        </is>
      </c>
      <c r="E63" s="27" t="n"/>
    </row>
    <row r="64" ht="17" customHeight="1">
      <c r="A64" s="24" t="inlineStr">
        <is>
          <t>roleCode</t>
        </is>
      </c>
      <c r="B64" s="8" t="inlineStr">
        <is>
          <t>角色</t>
        </is>
      </c>
      <c r="C64" s="25" t="inlineStr">
        <is>
          <t>investigator</t>
        </is>
      </c>
      <c r="D64" s="25" t="inlineStr">
        <is>
          <t>研究者</t>
        </is>
      </c>
      <c r="E64" s="8" t="inlineStr">
        <is>
          <t>权限矩阵见《后端接口与实现方案》第 6 节</t>
        </is>
      </c>
    </row>
    <row r="65" ht="17" customHeight="1">
      <c r="A65" s="26" t="n"/>
      <c r="B65" s="26" t="n"/>
      <c r="C65" s="5" t="inlineStr">
        <is>
          <t>data_manager</t>
        </is>
      </c>
      <c r="D65" s="5" t="inlineStr">
        <is>
          <t>数据管理员</t>
        </is>
      </c>
      <c r="E65" s="26" t="n"/>
    </row>
    <row r="66" ht="17" customHeight="1">
      <c r="A66" s="26" t="n"/>
      <c r="B66" s="26" t="n"/>
      <c r="C66" s="5" t="inlineStr">
        <is>
          <t>medical_lead</t>
        </is>
      </c>
      <c r="D66" s="5" t="inlineStr">
        <is>
          <t>医学负责人</t>
        </is>
      </c>
      <c r="E66" s="26" t="n"/>
    </row>
    <row r="67" ht="17" customHeight="1">
      <c r="A67" s="27" t="n"/>
      <c r="B67" s="27" t="n"/>
      <c r="C67" s="5" t="inlineStr">
        <is>
          <t>sys_admin</t>
        </is>
      </c>
      <c r="D67" s="5" t="inlineStr">
        <is>
          <t>系统管理员</t>
        </is>
      </c>
      <c r="E67" s="27" t="n"/>
    </row>
    <row r="68" ht="17" customHeight="1">
      <c r="A68" s="24" t="inlineStr">
        <is>
          <t>exportScope / format / layout</t>
        </is>
      </c>
      <c r="B68" s="8" t="inlineStr">
        <is>
          <t>导出参数</t>
        </is>
      </c>
      <c r="C68" s="25" t="inlineStr">
        <is>
          <t>list</t>
        </is>
      </c>
      <c r="D68" s="25" t="inlineStr">
        <is>
          <t>列表字段：xlsx / csv</t>
        </is>
      </c>
      <c r="E68" s="8" t="inlineStr">
        <is>
          <t>见 PT03</t>
        </is>
      </c>
    </row>
    <row r="69" ht="17" customHeight="1">
      <c r="A69" s="26" t="n"/>
      <c r="B69" s="26" t="n"/>
      <c r="C69" s="5" t="inlineStr">
        <is>
          <t>research</t>
        </is>
      </c>
      <c r="D69" s="5" t="inlineStr">
        <is>
          <t>研究数据：sav / dta / csv</t>
        </is>
      </c>
      <c r="E69" s="26" t="n"/>
    </row>
    <row r="70" ht="17" customHeight="1">
      <c r="A70" s="26" t="n"/>
      <c r="B70" s="26" t="n"/>
      <c r="C70" s="5" t="inlineStr">
        <is>
          <t>visit_long</t>
        </is>
      </c>
      <c r="D70" s="5" t="inlineStr">
        <is>
          <t>每行一次访视</t>
        </is>
      </c>
      <c r="E70" s="26" t="n"/>
    </row>
    <row r="71" ht="17" customHeight="1">
      <c r="A71" s="26" t="n"/>
      <c r="B71" s="26" t="n"/>
      <c r="C71" s="5" t="inlineStr">
        <is>
          <t>patient_wide</t>
        </is>
      </c>
      <c r="D71" s="5" t="inlineStr">
        <is>
          <t>每行一位患者</t>
        </is>
      </c>
      <c r="E71" s="26" t="n"/>
    </row>
    <row r="72" ht="17" customHeight="1">
      <c r="A72" s="27" t="n"/>
      <c r="B72" s="27" t="n"/>
      <c r="C72" s="5" t="inlineStr">
        <is>
          <t>multi</t>
        </is>
      </c>
      <c r="D72" s="5" t="inlineStr">
        <is>
          <t>多表 zip</t>
        </is>
      </c>
      <c r="E72" s="27" t="n"/>
    </row>
    <row r="74">
      <c r="A74" s="23" t="inlineStr">
        <is>
          <t>错误码（返回体 code）</t>
        </is>
      </c>
    </row>
    <row r="75">
      <c r="A75" s="3" t="inlineStr">
        <is>
          <t>code</t>
        </is>
      </c>
      <c r="B75" s="3" t="inlineStr">
        <is>
          <t>HTTP 状态</t>
        </is>
      </c>
      <c r="C75" s="3" t="inlineStr">
        <is>
          <t>含义</t>
        </is>
      </c>
    </row>
    <row r="76">
      <c r="A76" s="4" t="inlineStr">
        <is>
          <t>0</t>
        </is>
      </c>
      <c r="B76" s="5" t="inlineStr">
        <is>
          <t>200</t>
        </is>
      </c>
      <c r="C76" s="5" t="inlineStr">
        <is>
          <t>成功</t>
        </is>
      </c>
      <c r="D76" s="28" t="n"/>
      <c r="E76" s="29" t="n"/>
    </row>
    <row r="77">
      <c r="A77" s="4" t="inlineStr">
        <is>
          <t>40001</t>
        </is>
      </c>
      <c r="B77" s="5" t="inlineStr">
        <is>
          <t>400</t>
        </is>
      </c>
      <c r="C77" s="5" t="inlineStr">
        <is>
          <t>参数格式错误</t>
        </is>
      </c>
      <c r="D77" s="28" t="n"/>
      <c r="E77" s="29" t="n"/>
    </row>
    <row r="78">
      <c r="A78" s="4" t="inlineStr">
        <is>
          <t>40101</t>
        </is>
      </c>
      <c r="B78" s="5" t="inlineStr">
        <is>
          <t>401</t>
        </is>
      </c>
      <c r="C78" s="5" t="inlineStr">
        <is>
          <t>未登录 / 会话失效 / 账号或密码错误</t>
        </is>
      </c>
      <c r="D78" s="28" t="n"/>
      <c r="E78" s="29" t="n"/>
    </row>
    <row r="79">
      <c r="A79" s="4" t="inlineStr">
        <is>
          <t>40301</t>
        </is>
      </c>
      <c r="B79" s="5" t="inlineStr">
        <is>
          <t>403</t>
        </is>
      </c>
      <c r="C79" s="5" t="inlineStr">
        <is>
          <t>无权限</t>
        </is>
      </c>
      <c r="D79" s="28" t="n"/>
      <c r="E79" s="29" t="n"/>
    </row>
    <row r="80">
      <c r="A80" s="4" t="inlineStr">
        <is>
          <t>40401</t>
        </is>
      </c>
      <c r="B80" s="5" t="inlineStr">
        <is>
          <t>404</t>
        </is>
      </c>
      <c r="C80" s="5" t="inlineStr">
        <is>
          <t>数据不存在</t>
        </is>
      </c>
      <c r="D80" s="28" t="n"/>
      <c r="E80" s="29" t="n"/>
    </row>
    <row r="81">
      <c r="A81" s="4" t="inlineStr">
        <is>
          <t>40901</t>
        </is>
      </c>
      <c r="B81" s="5" t="inlineStr">
        <is>
          <t>409</t>
        </is>
      </c>
      <c r="C81" s="5" t="inlineStr">
        <is>
          <t>数据已被他人修改（rowVersion 不一致），请刷新后重试</t>
        </is>
      </c>
      <c r="D81" s="28" t="n"/>
      <c r="E81" s="29" t="n"/>
    </row>
    <row r="82">
      <c r="A82" s="4" t="inlineStr">
        <is>
          <t>42201</t>
        </is>
      </c>
      <c r="B82" s="5" t="inlineStr">
        <is>
          <t>422</t>
        </is>
      </c>
      <c r="C82" s="5" t="inlineStr">
        <is>
          <t>业务校验失败，details[] 按字段给出 {field, message}</t>
        </is>
      </c>
      <c r="D82" s="28" t="n"/>
      <c r="E82" s="29" t="n"/>
    </row>
    <row r="83">
      <c r="A83" s="4" t="inlineStr">
        <is>
          <t>42301</t>
        </is>
      </c>
      <c r="B83" s="5" t="inlineStr">
        <is>
          <t>423</t>
        </is>
      </c>
      <c r="C83" s="5" t="inlineStr">
        <is>
          <t>已锁定（账号锁定 / 访视已锁定）</t>
        </is>
      </c>
      <c r="D83" s="28" t="n"/>
      <c r="E83" s="29" t="n"/>
    </row>
    <row r="84">
      <c r="A84" s="4" t="inlineStr">
        <is>
          <t>50001</t>
        </is>
      </c>
      <c r="B84" s="5" t="inlineStr">
        <is>
          <t>500</t>
        </is>
      </c>
      <c r="C84" s="5" t="inlineStr">
        <is>
          <t>服务器错误，返回 traceId 便于排查</t>
        </is>
      </c>
      <c r="D84" s="28" t="n"/>
      <c r="E84" s="29" t="n"/>
    </row>
  </sheetData>
  <mergeCells count="63">
    <mergeCell ref="A36:A39"/>
    <mergeCell ref="E2:E6"/>
    <mergeCell ref="B62:B63"/>
    <mergeCell ref="B40:B42"/>
    <mergeCell ref="C80:E80"/>
    <mergeCell ref="E13:E14"/>
    <mergeCell ref="A57:A61"/>
    <mergeCell ref="A2:A6"/>
    <mergeCell ref="A64:A67"/>
    <mergeCell ref="C84:E84"/>
    <mergeCell ref="E64:E67"/>
    <mergeCell ref="A22:A24"/>
    <mergeCell ref="E46:E56"/>
    <mergeCell ref="E22:E24"/>
    <mergeCell ref="E57:E61"/>
    <mergeCell ref="A68:A72"/>
    <mergeCell ref="B68:B72"/>
    <mergeCell ref="E7:E9"/>
    <mergeCell ref="E25:E27"/>
    <mergeCell ref="A43:A45"/>
    <mergeCell ref="B13:B14"/>
    <mergeCell ref="C76:E76"/>
    <mergeCell ref="A10:A12"/>
    <mergeCell ref="E43:E45"/>
    <mergeCell ref="A46:A56"/>
    <mergeCell ref="A19:A21"/>
    <mergeCell ref="E28:E31"/>
    <mergeCell ref="B7:B9"/>
    <mergeCell ref="B25:B27"/>
    <mergeCell ref="E15:E18"/>
    <mergeCell ref="C82:E82"/>
    <mergeCell ref="A40:A42"/>
    <mergeCell ref="B22:B24"/>
    <mergeCell ref="B28:B31"/>
    <mergeCell ref="A32:A35"/>
    <mergeCell ref="C81:E81"/>
    <mergeCell ref="E36:E39"/>
    <mergeCell ref="A13:A14"/>
    <mergeCell ref="B43:B45"/>
    <mergeCell ref="E68:E72"/>
    <mergeCell ref="C78:E78"/>
    <mergeCell ref="B15:B18"/>
    <mergeCell ref="C77:E77"/>
    <mergeCell ref="C83:E83"/>
    <mergeCell ref="A62:A63"/>
    <mergeCell ref="B2:B6"/>
    <mergeCell ref="E32:E35"/>
    <mergeCell ref="B36:B39"/>
    <mergeCell ref="E62:E63"/>
    <mergeCell ref="A7:A9"/>
    <mergeCell ref="B10:B12"/>
    <mergeCell ref="B57:B61"/>
    <mergeCell ref="A25:A27"/>
    <mergeCell ref="E10:E12"/>
    <mergeCell ref="A28:A31"/>
    <mergeCell ref="B64:B67"/>
    <mergeCell ref="C79:E79"/>
    <mergeCell ref="E19:E21"/>
    <mergeCell ref="A15:A18"/>
    <mergeCell ref="B46:B56"/>
    <mergeCell ref="B19:B21"/>
    <mergeCell ref="B32:B35"/>
    <mergeCell ref="E40:E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46" customWidth="1" min="4" max="4"/>
    <col width="16" customWidth="1" min="5" max="5"/>
    <col width="16" customWidth="1" min="6" max="6"/>
    <col width="30" customWidth="1" min="7" max="7"/>
  </cols>
  <sheetData>
    <row r="1" ht="22" customHeight="1">
      <c r="A1" s="3" t="inlineStr">
        <is>
          <t>编号</t>
        </is>
      </c>
      <c r="B1" s="3" t="inlineStr">
        <is>
          <t>事项</t>
        </is>
      </c>
      <c r="C1" s="3" t="inlineStr">
        <is>
          <t>现状 / 问题</t>
        </is>
      </c>
      <c r="D1" s="3" t="inlineStr">
        <is>
          <t>建议</t>
        </is>
      </c>
      <c r="E1" s="3" t="inlineStr">
        <is>
          <t>影响接口</t>
        </is>
      </c>
      <c r="F1" s="3" t="inlineStr">
        <is>
          <t>谁来定</t>
        </is>
      </c>
      <c r="G1" s="3" t="inlineStr">
        <is>
          <t>结论</t>
        </is>
      </c>
      <c r="I1" s="30" t="inlineStr">
        <is>
          <t>「结论」列待填写</t>
        </is>
      </c>
    </row>
    <row r="2" ht="31" customHeight="1">
      <c r="A2" s="4" t="inlineStr">
        <is>
          <t>Q1</t>
        </is>
      </c>
      <c r="B2" s="5" t="inlineStr">
        <is>
          <t>DAS28 用 ESR 还是 CRP 版本</t>
        </is>
      </c>
      <c r="C2" s="5" t="inlineStr">
        <is>
          <t>看板、患者列表、风险名单都用「最近一次 DAS28」，两个版本数值不同</t>
        </is>
      </c>
      <c r="D2" s="5" t="inlineStr">
        <is>
          <t>统计默认 DAS28-CRP；访视详情两个都显示</t>
        </is>
      </c>
      <c r="E2" s="5" t="inlineStr">
        <is>
          <t>D01 PT01 PT06 V03</t>
        </is>
      </c>
      <c r="F2" s="5" t="inlineStr">
        <is>
          <t>医学负责人</t>
        </is>
      </c>
      <c r="G2" s="31" t="inlineStr"/>
    </row>
    <row r="3" ht="31" customHeight="1">
      <c r="A3" s="4" t="inlineStr">
        <is>
          <t>Q2</t>
        </is>
      </c>
      <c r="B3" s="5" t="inlineStr">
        <is>
          <t>「按期随访率」口径不一致</t>
        </is>
      </c>
      <c r="C3" s="5" t="inlineStr">
        <is>
          <t>看板用「随访计划数」作分母，随访管理页用「未脱落患者数」作分母，同名指标数值不同</t>
        </is>
      </c>
      <c r="D3" s="5" t="inlineStr">
        <is>
          <t>统一为 (计划数 − 逾期数) / 计划数（D-08 / F-04）</t>
        </is>
      </c>
      <c r="E3" s="5" t="inlineStr">
        <is>
          <t>D01 F01</t>
        </is>
      </c>
      <c r="F3" s="5" t="inlineStr">
        <is>
          <t>产品</t>
        </is>
      </c>
      <c r="G3" s="31" t="inlineStr"/>
    </row>
    <row r="4" ht="31" customHeight="1">
      <c r="A4" s="4" t="inlineStr">
        <is>
          <t>Q3</t>
        </is>
      </c>
      <c r="B4" s="5" t="inlineStr">
        <is>
          <t>「计划随访完成率」是否设访视窗口</t>
        </is>
      </c>
      <c r="C4" s="5" t="inlineStr">
        <is>
          <t>项目总览卡片 2 按访视次数算（P-02），是否要求在窗口期内完成才算</t>
        </is>
      </c>
      <c r="D4" s="5" t="inlineStr">
        <is>
          <t>一期不设窗口；如需要，建议 ±30 天</t>
        </is>
      </c>
      <c r="E4" s="5" t="inlineStr">
        <is>
          <t>P01</t>
        </is>
      </c>
      <c r="F4" s="5" t="inlineStr">
        <is>
          <t>医学负责人</t>
        </is>
      </c>
      <c r="G4" s="31" t="inlineStr"/>
    </row>
    <row r="5" ht="31" customHeight="1">
      <c r="A5" s="4" t="inlineStr">
        <is>
          <t>Q4</t>
        </is>
      </c>
      <c r="B5" s="5" t="inlineStr">
        <is>
          <t>待首次随访患者是否进入随访计划</t>
        </is>
      </c>
      <c r="C5" s="5" t="inlineStr">
        <is>
          <t>0 次访视的患者现在不出现在随访管理，也不算逾期</t>
        </is>
      </c>
      <c r="D5" s="5" t="inlineStr">
        <is>
          <t>建议按「随访观察起始」作为首次应访日期纳入计划</t>
        </is>
      </c>
      <c r="E5" s="5" t="inlineStr">
        <is>
          <t>F01 D01</t>
        </is>
      </c>
      <c r="F5" s="5" t="inlineStr">
        <is>
          <t>产品</t>
        </is>
      </c>
      <c r="G5" s="31" t="inlineStr"/>
    </row>
    <row r="6" ht="31" customHeight="1">
      <c r="A6" s="4" t="inlineStr">
        <is>
          <t>Q5</t>
        </is>
      </c>
      <c r="B6" s="5" t="inlineStr">
        <is>
          <t>患者列表缺「随访逾期」筛选项</t>
        </is>
      </c>
      <c r="C6" s="5" t="inlineStr">
        <is>
          <t>随访状态有 5 种，下拉只有 4 种（缺随访逾期）</t>
        </is>
      </c>
      <c r="D6" s="5" t="inlineStr">
        <is>
          <t>前端下拉补上 overdue</t>
        </is>
      </c>
      <c r="E6" s="5" t="inlineStr">
        <is>
          <t>PT01</t>
        </is>
      </c>
      <c r="F6" s="5" t="inlineStr">
        <is>
          <t>产品（前端改）</t>
        </is>
      </c>
      <c r="G6" s="31" t="inlineStr"/>
    </row>
    <row r="7" ht="17.5" customHeight="1">
      <c r="A7" s="4" t="inlineStr">
        <is>
          <t>Q6</t>
        </is>
      </c>
      <c r="B7" s="5" t="inlineStr">
        <is>
          <t>出生日期 vs 出生年份</t>
        </is>
      </c>
      <c r="C7" s="5" t="inlineStr">
        <is>
          <t>新建页填出生日期，编辑页填出生年份</t>
        </is>
      </c>
      <c r="D7" s="5" t="inlineStr">
        <is>
          <t>统一存出生日期；页面显示年份</t>
        </is>
      </c>
      <c r="E7" s="5" t="inlineStr">
        <is>
          <t>PT02 PT11</t>
        </is>
      </c>
      <c r="F7" s="5" t="inlineStr">
        <is>
          <t>产品（前端改）</t>
        </is>
      </c>
      <c r="G7" s="31" t="inlineStr"/>
    </row>
    <row r="8" ht="31" customHeight="1">
      <c r="A8" s="4" t="inlineStr">
        <is>
          <t>Q7</t>
        </is>
      </c>
      <c r="B8" s="5" t="inlineStr">
        <is>
          <t>疾病分型字段来源</t>
        </is>
      </c>
      <c r="C8" s="5" t="inlineStr">
        <is>
          <t>列表和详情显示「分型未提供」，CRF 里没有该字段</t>
        </is>
      </c>
      <c r="D8" s="5" t="inlineStr">
        <is>
          <t>确认分型含义（如血清阳性/阴性），加入字典或由 RF / 抗 CCP 推导</t>
        </is>
      </c>
      <c r="E8" s="5" t="inlineStr">
        <is>
          <t>PT01 PT06</t>
        </is>
      </c>
      <c r="F8" s="5" t="inlineStr">
        <is>
          <t>医学负责人</t>
        </is>
      </c>
      <c r="G8" s="31" t="inlineStr"/>
    </row>
    <row r="9" ht="17.5" customHeight="1">
      <c r="A9" s="4" t="inlineStr">
        <is>
          <t>Q8</t>
        </is>
      </c>
      <c r="B9" s="5" t="inlineStr">
        <is>
          <t>标记脱落没有页面入口</t>
        </is>
      </c>
      <c r="C9" s="5" t="inlineStr">
        <is>
          <t>有「已脱落」状态和审计示例，但没有操作按钮</t>
        </is>
      </c>
      <c r="D9" s="5" t="inlineStr">
        <is>
          <t>在患者详情加「标记脱落」按钮，调 PT12</t>
        </is>
      </c>
      <c r="E9" s="5" t="inlineStr">
        <is>
          <t>PT12</t>
        </is>
      </c>
      <c r="F9" s="5" t="inlineStr">
        <is>
          <t>产品（前端补）</t>
        </is>
      </c>
      <c r="G9" s="31" t="inlineStr"/>
    </row>
    <row r="10" ht="17.5" customHeight="1">
      <c r="A10" s="4" t="inlineStr">
        <is>
          <t>Q9</t>
        </is>
      </c>
      <c r="B10" s="5" t="inlineStr">
        <is>
          <t>「已确认无相关疾病」勾选</t>
        </is>
      </c>
      <c r="C10" s="5" t="inlineStr">
        <is>
          <t>质控 QC-M03 需要区分「没填」和「确认没有」</t>
        </is>
      </c>
      <c r="D10" s="5" t="inlineStr">
        <is>
          <t>新建/编辑档案页加勾选项</t>
        </is>
      </c>
      <c r="E10" s="5" t="inlineStr">
        <is>
          <t>PT02 PT11</t>
        </is>
      </c>
      <c r="F10" s="5" t="inlineStr">
        <is>
          <t>产品（前端补）</t>
        </is>
      </c>
      <c r="G10" s="31" t="inlineStr"/>
    </row>
    <row r="11" ht="31" customHeight="1">
      <c r="A11" s="4" t="inlineStr">
        <is>
          <t>Q10</t>
        </is>
      </c>
      <c r="B11" s="5" t="inlineStr">
        <is>
          <t>新建患者「暂存草稿」存哪里</t>
        </is>
      </c>
      <c r="C11" s="5" t="inlineStr">
        <is>
          <t>患者尚未创建，服务端没有归属对象</t>
        </is>
      </c>
      <c r="D11" s="5" t="inlineStr">
        <is>
          <t>一期存本机浏览器；随访草稿走服务端（visit.status=draft）</t>
        </is>
      </c>
      <c r="E11" s="5" t="inlineStr">
        <is>
          <t>PT02 V02</t>
        </is>
      </c>
      <c r="F11" s="5" t="inlineStr">
        <is>
          <t>产品</t>
        </is>
      </c>
      <c r="G11" s="31" t="inlineStr"/>
    </row>
    <row r="12" ht="17.5" customHeight="1">
      <c r="A12" s="4" t="inlineStr">
        <is>
          <t>Q11</t>
        </is>
      </c>
      <c r="B12" s="5" t="inlineStr">
        <is>
          <t>访视方式、录入医生</t>
        </is>
      </c>
      <c r="C12" s="5" t="inlineStr">
        <is>
          <t>CRF 中没有访视方式；医生默认当前登录用户</t>
        </is>
      </c>
      <c r="D12" s="5" t="inlineStr">
        <is>
          <t>访视方式默认门诊，表单加一个下拉</t>
        </is>
      </c>
      <c r="E12" s="5" t="inlineStr">
        <is>
          <t>V02</t>
        </is>
      </c>
      <c r="F12" s="5" t="inlineStr">
        <is>
          <t>产品</t>
        </is>
      </c>
      <c r="G12" s="31" t="inlineStr"/>
    </row>
    <row r="13" ht="17.5" customHeight="1">
      <c r="A13" s="4" t="inlineStr">
        <is>
          <t>Q12</t>
        </is>
      </c>
      <c r="B13" s="5" t="inlineStr">
        <is>
          <t>质控状态流转</t>
        </is>
      </c>
      <c r="C13" s="5" t="inlineStr">
        <is>
          <t>页面有「待确认」状态，但只有「标记已处理」按钮</t>
        </is>
      </c>
      <c r="D13" s="5" t="inlineStr">
        <is>
          <t>一期只做 待处理 → 已处理；待确认流程二期</t>
        </is>
      </c>
      <c r="E13" s="5" t="inlineStr">
        <is>
          <t>Q01 Q02</t>
        </is>
      </c>
      <c r="F13" s="5" t="inlineStr">
        <is>
          <t>产品</t>
        </is>
      </c>
      <c r="G13" s="31" t="inlineStr"/>
    </row>
    <row r="14" ht="17.5" customHeight="1">
      <c r="A14" s="4" t="inlineStr">
        <is>
          <t>Q13</t>
        </is>
      </c>
      <c r="B14" s="5" t="inlineStr">
        <is>
          <t>侧栏「N 异常检验」口径</t>
        </is>
      </c>
      <c r="C14" s="5" t="inlineStr">
        <is>
          <t>当前是写死的 34</t>
        </is>
      </c>
      <c r="D14" s="5" t="inlineStr">
        <is>
          <t>按 G-02：最近一次访视任一检验超参考区间的患者数</t>
        </is>
      </c>
      <c r="E14" s="5" t="inlineStr">
        <is>
          <t>G04</t>
        </is>
      </c>
      <c r="F14" s="5" t="inlineStr">
        <is>
          <t>产品</t>
        </is>
      </c>
      <c r="G14" s="31" t="inlineStr"/>
    </row>
    <row r="15" ht="31" customHeight="1">
      <c r="A15" s="4" t="inlineStr">
        <is>
          <t>Q14</t>
        </is>
      </c>
      <c r="B15" s="5" t="inlineStr">
        <is>
          <t>「研究级可用记录」口径</t>
        </is>
      </c>
      <c r="C15" s="5" t="inlineStr">
        <is>
          <t>项目总览 241 为写死</t>
        </is>
      </c>
      <c r="D15" s="5" t="inlineStr">
        <is>
          <t>按 P-08：已提交 + 无未关闭质控 + 必填齐全的访视数</t>
        </is>
      </c>
      <c r="E15" s="5" t="inlineStr">
        <is>
          <t>P01</t>
        </is>
      </c>
      <c r="F15" s="5" t="inlineStr">
        <is>
          <t>产品 + 医学</t>
        </is>
      </c>
      <c r="G15" s="31" t="inlineStr"/>
    </row>
    <row r="16" ht="17.5" customHeight="1">
      <c r="A16" s="4" t="inlineStr">
        <is>
          <t>Q15</t>
        </is>
      </c>
      <c r="B16" s="5" t="inlineStr">
        <is>
          <t>病历下载 PDF 模板</t>
        </is>
      </c>
      <c r="C16" s="5" t="inlineStr">
        <is>
          <t>现为演示 txt</t>
        </is>
      </c>
      <c r="D16" s="5" t="inlineStr">
        <is>
          <t>确认版式、抬头、是否含身份证号</t>
        </is>
      </c>
      <c r="E16" s="5" t="inlineStr">
        <is>
          <t>PT10</t>
        </is>
      </c>
      <c r="F16" s="5" t="inlineStr">
        <is>
          <t>客户</t>
        </is>
      </c>
      <c r="G16" s="31" t="inlineStr"/>
    </row>
    <row r="17" ht="31" customHeight="1">
      <c r="A17" s="4" t="inlineStr">
        <is>
          <t>Q16</t>
        </is>
      </c>
      <c r="B17" s="5" t="inlineStr">
        <is>
          <t>导出一期是否就做 sav / dta</t>
        </is>
      </c>
      <c r="C17" s="5" t="inlineStr">
        <is>
          <t>客户要导入 SPSS / Stata</t>
        </is>
      </c>
      <c r="D17" s="5" t="inlineStr">
        <is>
          <t>建议一期做（pyreadstat 成本低），前提是 CRF 字典定稿并加「导出变量名」「选项整数码」</t>
        </is>
      </c>
      <c r="E17" s="5" t="inlineStr">
        <is>
          <t>PT03</t>
        </is>
      </c>
      <c r="F17" s="5" t="inlineStr">
        <is>
          <t>客户</t>
        </is>
      </c>
      <c r="G17" s="31" t="inlineStr"/>
    </row>
    <row r="18" ht="17.5" customHeight="1">
      <c r="A18" s="4" t="inlineStr">
        <is>
          <t>Q17</t>
        </is>
      </c>
      <c r="B18" s="5" t="inlineStr">
        <is>
          <t>质控规则清单与取值范围</t>
        </is>
      </c>
      <c r="C18" s="5" t="inlineStr">
        <is>
          <t>QC-O01、QC-L01/L02 的具体范围和规则需医学确认</t>
        </is>
      </c>
      <c r="D18" s="5" t="inlineStr">
        <is>
          <t>医学负责人在 CRF 字典中填 min/max，并补逻辑规则</t>
        </is>
      </c>
      <c r="E18" s="5" t="inlineStr">
        <is>
          <t>Q01 Q03</t>
        </is>
      </c>
      <c r="F18" s="5" t="inlineStr">
        <is>
          <t>医学负责人</t>
        </is>
      </c>
      <c r="G18" s="31" t="inlineStr"/>
    </row>
    <row r="19" ht="31" customHeight="1">
      <c r="A19" s="4" t="inlineStr">
        <is>
          <t>Q18</t>
        </is>
      </c>
      <c r="B19" s="5" t="inlineStr">
        <is>
          <t>响应格式</t>
        </is>
      </c>
      <c r="C19" s="5" t="inlineStr">
        <is>
          <t>此前 openapi.yaml 草稿是 HTTP 直接返回数据</t>
        </is>
      </c>
      <c r="D19" s="5" t="inlineStr">
        <is>
          <t>以本表为准：统一 {code, message, data, traceId}；openapi.yaml 随后同步</t>
        </is>
      </c>
      <c r="E19" s="5" t="inlineStr">
        <is>
          <t>全部</t>
        </is>
      </c>
      <c r="F19" s="5" t="inlineStr">
        <is>
          <t>后端</t>
        </is>
      </c>
      <c r="G19" s="31" t="inlineStr"/>
    </row>
    <row r="20" ht="31" customHeight="1">
      <c r="A20" s="4" t="inlineStr">
        <is>
          <t>Q19</t>
        </is>
      </c>
      <c r="B20" s="5" t="inlineStr">
        <is>
          <t>AI 相关</t>
        </is>
      </c>
      <c r="C20" s="5" t="inlineStr">
        <is>
          <t>看板智能队列、患者列表 AI 分析、问问AI、病程分析、纸质病历拍照整页识别</t>
        </is>
      </c>
      <c r="D20" s="5" t="inlineStr">
        <is>
          <t>单独讨论 AI 方案（DeepSeek）；本表只含化验单 OCR（百度医疗 OCR）</t>
        </is>
      </c>
      <c r="E20" s="5" t="inlineStr">
        <is>
          <t>—</t>
        </is>
      </c>
      <c r="F20" s="5" t="inlineStr">
        <is>
          <t>产品</t>
        </is>
      </c>
      <c r="G20" s="31" t="inlineStr"/>
    </row>
    <row r="21" ht="31" customHeight="1">
      <c r="A21" s="4" t="inlineStr">
        <is>
          <t>Q20</t>
        </is>
      </c>
      <c r="B21" s="5" t="inlineStr">
        <is>
          <t>当前方案起始日期怎么判定</t>
        </is>
      </c>
      <c r="C21" s="5" t="inlineStr">
        <is>
          <t>D-18、D-21 依赖「当前治疗方案起始」</t>
        </is>
      </c>
      <c r="D21" s="5" t="inlineStr">
        <is>
          <t>取主要 DMARD 最近一次更换的起始日期；具体规则医学确认</t>
        </is>
      </c>
      <c r="E21" s="5" t="inlineStr">
        <is>
          <t>D01 D02</t>
        </is>
      </c>
      <c r="F21" s="5" t="inlineStr">
        <is>
          <t>医学负责人</t>
        </is>
      </c>
      <c r="G21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2026-09-30T18:02:34Z</dcterms:created>
  <dcterms:modified xmlns:dcterms="http://purl.org/dc/terms/" xmlns:xsi="http://www.w3.org/2001/XMLSchema-instance" xsi:type="dcterms:W3CDTF">2026-09-30T18:02:35Z</dcterms:modified>
</cp:coreProperties>
</file>